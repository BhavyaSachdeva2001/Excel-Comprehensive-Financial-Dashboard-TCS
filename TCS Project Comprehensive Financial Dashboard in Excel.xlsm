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Bhavya\Desktop\"/>
    </mc:Choice>
  </mc:AlternateContent>
  <xr:revisionPtr revIDLastSave="0" documentId="13_ncr:1_{672880F1-5082-4A89-8539-18CAD1D4A22A}" xr6:coauthVersionLast="47" xr6:coauthVersionMax="47" xr10:uidLastSave="{00000000-0000-0000-0000-000000000000}"/>
  <bookViews>
    <workbookView xWindow="-120" yWindow="-120" windowWidth="20730" windowHeight="11160" tabRatio="553" xr2:uid="{E997FA58-0973-4418-B90B-0CC378415EA8}"/>
  </bookViews>
  <sheets>
    <sheet name="Balance Sheet" sheetId="2" r:id="rId1"/>
    <sheet name="P&amp;L" sheetId="3" r:id="rId2"/>
    <sheet name="Cash Flows" sheetId="4" r:id="rId3"/>
    <sheet name="Revenue and Shares" sheetId="6" r:id="rId4"/>
    <sheet name="Share Price" sheetId="15" r:id="rId5"/>
    <sheet name="Daily Share Prices" sheetId="18" r:id="rId6"/>
    <sheet name="VLOOKUP Function" sheetId="20" r:id="rId7"/>
    <sheet name="Category wise shareholdings" sheetId="17" r:id="rId8"/>
    <sheet name="Pivot Tables" sheetId="9" r:id="rId9"/>
    <sheet name="Dashboard" sheetId="10" r:id="rId10"/>
  </sheets>
  <definedNames>
    <definedName name="_xlnm._FilterDatabase" localSheetId="5" hidden="1">'Daily Share Prices'!$A$1:$N$1</definedName>
    <definedName name="_xlnm._FilterDatabase" localSheetId="6" hidden="1">'VLOOKUP Function'!$A$1:$E$1</definedName>
    <definedName name="ExternalData_1" localSheetId="0" hidden="1">'Balance Sheet'!$A$2:$D$61</definedName>
    <definedName name="ExternalData_1" localSheetId="2" hidden="1">'Cash Flows'!$A$4:$C$72</definedName>
    <definedName name="ExternalData_1" localSheetId="7" hidden="1">'Category wise shareholdings'!$A$1:$B$13</definedName>
    <definedName name="ExternalData_1" localSheetId="1" hidden="1">'P&amp;L'!$A$3:$D$52</definedName>
    <definedName name="Slicer_Category">#N/A</definedName>
    <definedName name="Slicer_Revenue_by_Geographic_Segments">#N/A</definedName>
  </definedNames>
  <calcPr calcId="191029"/>
  <pivotCaches>
    <pivotCache cacheId="0" r:id="rId11"/>
    <pivotCache cacheId="1" r:id="rId12"/>
    <pivotCache cacheId="2" r:id="rId13"/>
  </pivotCaches>
  <extLs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0" i="20" l="1"/>
  <c r="E3" i="20"/>
  <c r="E4" i="20"/>
  <c r="E5" i="20"/>
  <c r="E6" i="20"/>
  <c r="E7" i="20"/>
  <c r="E8" i="20"/>
  <c r="E9" i="20"/>
  <c r="E10" i="20"/>
  <c r="E11" i="20"/>
  <c r="E12" i="20"/>
  <c r="E13" i="20"/>
  <c r="E14" i="20"/>
  <c r="E15" i="20"/>
  <c r="E16" i="20"/>
  <c r="E17" i="20"/>
  <c r="E18" i="20"/>
  <c r="E19" i="20"/>
  <c r="E2" i="20"/>
  <c r="D3" i="20"/>
  <c r="D4" i="20"/>
  <c r="D5" i="20"/>
  <c r="D6" i="20"/>
  <c r="D7" i="20"/>
  <c r="D8" i="20"/>
  <c r="D9" i="20"/>
  <c r="D10" i="20"/>
  <c r="D11" i="20"/>
  <c r="D12" i="20"/>
  <c r="D13" i="20"/>
  <c r="D14" i="20"/>
  <c r="D15" i="20"/>
  <c r="D16" i="20"/>
  <c r="D17" i="20"/>
  <c r="D18" i="20"/>
  <c r="D19" i="20"/>
  <c r="D20" i="20"/>
  <c r="D2" i="20"/>
  <c r="C3" i="20"/>
  <c r="C4" i="20"/>
  <c r="C5" i="20"/>
  <c r="C6" i="20"/>
  <c r="C7" i="20"/>
  <c r="C8" i="20"/>
  <c r="C9" i="20"/>
  <c r="C10" i="20"/>
  <c r="C11" i="20"/>
  <c r="C12" i="20"/>
  <c r="C13" i="20"/>
  <c r="C14" i="20"/>
  <c r="C15" i="20"/>
  <c r="C16" i="20"/>
  <c r="C17" i="20"/>
  <c r="C18" i="20"/>
  <c r="C19" i="20"/>
  <c r="C20" i="20"/>
  <c r="C2" i="20"/>
  <c r="B2" i="20"/>
  <c r="B3" i="20"/>
  <c r="B4" i="20"/>
  <c r="B5" i="20"/>
  <c r="B6" i="20"/>
  <c r="B7" i="20"/>
  <c r="B8" i="20"/>
  <c r="B9" i="20"/>
  <c r="B10" i="20"/>
  <c r="B11" i="20"/>
  <c r="B12" i="20"/>
  <c r="B13" i="20"/>
  <c r="B14" i="20"/>
  <c r="B15" i="20"/>
  <c r="B16" i="20"/>
  <c r="B17" i="20"/>
  <c r="B18" i="20"/>
  <c r="B19" i="20"/>
  <c r="B20" i="20"/>
  <c r="K6" i="15"/>
  <c r="J6" i="15"/>
  <c r="K5" i="15"/>
  <c r="J5" i="15"/>
  <c r="I8" i="6"/>
  <c r="F3" i="6"/>
  <c r="F4" i="6"/>
  <c r="F5" i="6"/>
  <c r="F6"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04083C-75E4-438E-8AD4-91E63808AD3C}" keepAlive="1" name="Query - Page001" description="Connection to the 'Page001' query in the workbook." type="5" refreshedVersion="7" background="1" saveData="1">
    <dbPr connection="Provider=Microsoft.Mashup.OleDb.1;Data Source=$Workbook$;Location=Page001;Extended Properties=&quot;&quot;" command="SELECT * FROM [Page001]"/>
  </connection>
  <connection id="2" xr16:uid="{46260A01-EBD9-4997-A3DD-6D28E62A3386}" keepAlive="1" name="Query - Table001 (Page 1)" description="Connection to the 'Table001 (Page 1)' query in the workbook." type="5" refreshedVersion="7" background="1" saveData="1">
    <dbPr connection="Provider=Microsoft.Mashup.OleDb.1;Data Source=$Workbook$;Location=&quot;Table001 (Page 1)&quot;;Extended Properties=&quot;&quot;" command="SELECT * FROM [Table001 (Page 1)]"/>
  </connection>
  <connection id="3" xr16:uid="{4D774CDB-1835-4441-A559-731C5700EBF9}" keepAlive="1" name="Query - Table001 (Page 1-2)" description="Connection to the 'Table001 (Page 1-2)' query in the workbook." type="5" refreshedVersion="7" background="1" saveData="1">
    <dbPr connection="Provider=Microsoft.Mashup.OleDb.1;Data Source=$Workbook$;Location=&quot;Table001 (Page 1-2)&quot;;Extended Properties=&quot;&quot;" command="SELECT * FROM [Table001 (Page 1-2)]"/>
  </connection>
  <connection id="4" xr16:uid="{204F0A44-F940-4F1F-BB20-874177B08E44}" keepAlive="1" name="Query - Table002 (Page 1)" description="Connection to the 'Table002 (Page 1)' query in the workbook." type="5" refreshedVersion="7" background="1" saveData="1">
    <dbPr connection="Provider=Microsoft.Mashup.OleDb.1;Data Source=$Workbook$;Location=&quot;Table002 (Page 1)&quot;;Extended Properties=&quot;&quot;" command="SELECT * FROM [Table002 (Page 1)]"/>
  </connection>
</connections>
</file>

<file path=xl/sharedStrings.xml><?xml version="1.0" encoding="utf-8"?>
<sst xmlns="http://schemas.openxmlformats.org/spreadsheetml/2006/main" count="868" uniqueCount="696">
  <si>
    <t>Consolidated Balance Sheet</t>
  </si>
  <si>
    <t>Note</t>
  </si>
  <si>
    <t>ASSETS</t>
  </si>
  <si>
    <t>Non-current assets</t>
  </si>
  <si>
    <t>Property, plant and equipment</t>
  </si>
  <si>
    <t>10(a)</t>
  </si>
  <si>
    <t>9,376</t>
  </si>
  <si>
    <t>10,230</t>
  </si>
  <si>
    <t>Capital work-in-progress</t>
  </si>
  <si>
    <t>1,564</t>
  </si>
  <si>
    <t>1,234</t>
  </si>
  <si>
    <t>Right-of-use assets</t>
  </si>
  <si>
    <t>9</t>
  </si>
  <si>
    <t>7,886</t>
  </si>
  <si>
    <t>7,560</t>
  </si>
  <si>
    <t>Goodwill</t>
  </si>
  <si>
    <t>10(b)</t>
  </si>
  <si>
    <t>1,832</t>
  </si>
  <si>
    <t>1,858</t>
  </si>
  <si>
    <t>Other intangible assets</t>
  </si>
  <si>
    <t>10(c)</t>
  </si>
  <si>
    <t>510</t>
  </si>
  <si>
    <t>867</t>
  </si>
  <si>
    <t>Financial assets</t>
  </si>
  <si>
    <t>Investments</t>
  </si>
  <si>
    <t>8(a)</t>
  </si>
  <si>
    <t>281</t>
  </si>
  <si>
    <t>266</t>
  </si>
  <si>
    <t>Trade receivables</t>
  </si>
  <si>
    <t>Billed</t>
  </si>
  <si>
    <t>8(b)</t>
  </si>
  <si>
    <t>127</t>
  </si>
  <si>
    <t>149</t>
  </si>
  <si>
    <t>Unbilled</t>
  </si>
  <si>
    <t>16</t>
  </si>
  <si>
    <t>199</t>
  </si>
  <si>
    <t>Loans</t>
  </si>
  <si>
    <t>8(e)</t>
  </si>
  <si>
    <t>2</t>
  </si>
  <si>
    <t>173</t>
  </si>
  <si>
    <t>Other financial assets</t>
  </si>
  <si>
    <t>8(f)</t>
  </si>
  <si>
    <t>3,272</t>
  </si>
  <si>
    <t>2,149</t>
  </si>
  <si>
    <t>Deferred tax assets (net)</t>
  </si>
  <si>
    <t>17</t>
  </si>
  <si>
    <t>3,403</t>
  </si>
  <si>
    <t>3,307</t>
  </si>
  <si>
    <t>Income tax assets (net)</t>
  </si>
  <si>
    <t>1,600</t>
  </si>
  <si>
    <t>2,583</t>
  </si>
  <si>
    <t>Other assets</t>
  </si>
  <si>
    <t>10(d)</t>
  </si>
  <si>
    <t>3,596</t>
  </si>
  <si>
    <t>2,806</t>
  </si>
  <si>
    <t>Total non-current assets</t>
  </si>
  <si>
    <t>33,465</t>
  </si>
  <si>
    <t>33,381</t>
  </si>
  <si>
    <t>Current assets</t>
  </si>
  <si>
    <t>Inventories</t>
  </si>
  <si>
    <t>10(e)</t>
  </si>
  <si>
    <t>28</t>
  </si>
  <si>
    <t>31,481</t>
  </si>
  <si>
    <t>36,897</t>
  </si>
  <si>
    <t>44,434</t>
  </si>
  <si>
    <t>41,049</t>
  </si>
  <si>
    <t>9,143</t>
  </si>
  <si>
    <t>8,905</t>
  </si>
  <si>
    <t>Cash and cash equivalents</t>
  </si>
  <si>
    <t>8(c)</t>
  </si>
  <si>
    <t>9,016</t>
  </si>
  <si>
    <t>7,123</t>
  </si>
  <si>
    <t>Other balances with banks</t>
  </si>
  <si>
    <t>8(d)</t>
  </si>
  <si>
    <t>4,270</t>
  </si>
  <si>
    <t>3,909</t>
  </si>
  <si>
    <t>491</t>
  </si>
  <si>
    <t>1,325</t>
  </si>
  <si>
    <t>1,703</t>
  </si>
  <si>
    <t>1,319</t>
  </si>
  <si>
    <t>151</t>
  </si>
  <si>
    <t>8</t>
  </si>
  <si>
    <t>12,267</t>
  </si>
  <si>
    <t>9,707</t>
  </si>
  <si>
    <t>Total current assets</t>
  </si>
  <si>
    <t>1,12,984</t>
  </si>
  <si>
    <t>1,10,270</t>
  </si>
  <si>
    <t>TOTAL ASSETS</t>
  </si>
  <si>
    <t>1,46,449</t>
  </si>
  <si>
    <t>1,43,651</t>
  </si>
  <si>
    <t>EQUITY AND LIABILITIES</t>
  </si>
  <si>
    <t>Equity</t>
  </si>
  <si>
    <t>Share capital</t>
  </si>
  <si>
    <t>8(m)</t>
  </si>
  <si>
    <t>362</t>
  </si>
  <si>
    <t>366</t>
  </si>
  <si>
    <t>Other equity</t>
  </si>
  <si>
    <t>90,127</t>
  </si>
  <si>
    <t>90,058</t>
  </si>
  <si>
    <t>Equity attributable to shareholders of the Company</t>
  </si>
  <si>
    <t>90,489</t>
  </si>
  <si>
    <t>90,424</t>
  </si>
  <si>
    <t>Non-controlling interests</t>
  </si>
  <si>
    <t>830</t>
  </si>
  <si>
    <t>782</t>
  </si>
  <si>
    <t>Total equity</t>
  </si>
  <si>
    <t>91,319</t>
  </si>
  <si>
    <t>91,206</t>
  </si>
  <si>
    <t>Liabilities</t>
  </si>
  <si>
    <t>Non-current liabilities</t>
  </si>
  <si>
    <t>Financial liabilities</t>
  </si>
  <si>
    <t>Lease liabilities</t>
  </si>
  <si>
    <t>6,516</t>
  </si>
  <si>
    <t>6,203</t>
  </si>
  <si>
    <t>Other financial liabilities</t>
  </si>
  <si>
    <t>8(h)</t>
  </si>
  <si>
    <t>365</t>
  </si>
  <si>
    <t>353</t>
  </si>
  <si>
    <t>Employee benefit obligations</t>
  </si>
  <si>
    <t>14</t>
  </si>
  <si>
    <t>686</t>
  </si>
  <si>
    <t>536</t>
  </si>
  <si>
    <t>Deferred tax liabilities (net)</t>
  </si>
  <si>
    <t>977</t>
  </si>
  <si>
    <t>792</t>
  </si>
  <si>
    <t>Unearned and deferred revenue</t>
  </si>
  <si>
    <t>482</t>
  </si>
  <si>
    <t>1,003</t>
  </si>
  <si>
    <t>Total non-current liabilities</t>
  </si>
  <si>
    <t>9,026</t>
  </si>
  <si>
    <t>8,887</t>
  </si>
  <si>
    <t>Current liabilities</t>
  </si>
  <si>
    <t>1,505</t>
  </si>
  <si>
    <t>1,485</t>
  </si>
  <si>
    <t>Trade payables</t>
  </si>
  <si>
    <t>8(g)</t>
  </si>
  <si>
    <t>9,981</t>
  </si>
  <si>
    <t>10,515</t>
  </si>
  <si>
    <t>8,362</t>
  </si>
  <si>
    <t>9,068</t>
  </si>
  <si>
    <t>3,640</t>
  </si>
  <si>
    <t>3,843</t>
  </si>
  <si>
    <t>Other liabilities</t>
  </si>
  <si>
    <t>10(f)</t>
  </si>
  <si>
    <t>6,524</t>
  </si>
  <si>
    <t>4,892</t>
  </si>
  <si>
    <t>Provisions</t>
  </si>
  <si>
    <t>10(g)</t>
  </si>
  <si>
    <t>140</t>
  </si>
  <si>
    <t>345</t>
  </si>
  <si>
    <t>4,519</t>
  </si>
  <si>
    <t>4,065</t>
  </si>
  <si>
    <t>Income tax liabilities (net)</t>
  </si>
  <si>
    <t>11,433</t>
  </si>
  <si>
    <t>9,345</t>
  </si>
  <si>
    <t>Total current liabilities</t>
  </si>
  <si>
    <t>46,104</t>
  </si>
  <si>
    <t>43,558</t>
  </si>
  <si>
    <t>TOTAL EQUITY AND LIABILITIES</t>
  </si>
  <si>
    <t>As at 31 March,2024</t>
  </si>
  <si>
    <t>As at 31 March,2023</t>
  </si>
  <si>
    <t>(Rs. Crore)</t>
  </si>
  <si>
    <t>Year ended</t>
  </si>
  <si>
    <t>March 31, 2024</t>
  </si>
  <si>
    <t>March 31, 2023</t>
  </si>
  <si>
    <t>Revenue from operations</t>
  </si>
  <si>
    <t>12</t>
  </si>
  <si>
    <t>2,40,893</t>
  </si>
  <si>
    <t>2,25,458</t>
  </si>
  <si>
    <t>Other income</t>
  </si>
  <si>
    <t>13</t>
  </si>
  <si>
    <t>4,422</t>
  </si>
  <si>
    <t>3,449</t>
  </si>
  <si>
    <t>TOTAL INCOME</t>
  </si>
  <si>
    <t>2,45,315</t>
  </si>
  <si>
    <t>2,28,907</t>
  </si>
  <si>
    <t>Expenses</t>
  </si>
  <si>
    <t>Employee benefit expenses</t>
  </si>
  <si>
    <t>1,40,131</t>
  </si>
  <si>
    <t>1,27,522</t>
  </si>
  <si>
    <t>Cost of equipment and software licences</t>
  </si>
  <si>
    <t>15(a)</t>
  </si>
  <si>
    <t>3,702</t>
  </si>
  <si>
    <t>1,881</t>
  </si>
  <si>
    <t>Finance costs</t>
  </si>
  <si>
    <t>778</t>
  </si>
  <si>
    <t>779</t>
  </si>
  <si>
    <t>Depreciation and amortisation expense</t>
  </si>
  <si>
    <t>4,985</t>
  </si>
  <si>
    <t>5,022</t>
  </si>
  <si>
    <t>Other expenses</t>
  </si>
  <si>
    <t>15(b)</t>
  </si>
  <si>
    <t>32,764</t>
  </si>
  <si>
    <t>36,796</t>
  </si>
  <si>
    <t>TOTAL EXPENSES</t>
  </si>
  <si>
    <t>1,82,360</t>
  </si>
  <si>
    <t>1,72,000</t>
  </si>
  <si>
    <t>PROFIT BEFORE EXCEPTIONAL ITEM AND TAX</t>
  </si>
  <si>
    <t>62,955</t>
  </si>
  <si>
    <t>56,907</t>
  </si>
  <si>
    <t>Exceptional item</t>
  </si>
  <si>
    <t>Settlement of legal claim</t>
  </si>
  <si>
    <t>20</t>
  </si>
  <si>
    <t>958</t>
  </si>
  <si>
    <t>-</t>
  </si>
  <si>
    <t>PROFIT BEFORE TAX</t>
  </si>
  <si>
    <t>61,997</t>
  </si>
  <si>
    <t>Tax expense</t>
  </si>
  <si>
    <t>Current tax</t>
  </si>
  <si>
    <t>15,864</t>
  </si>
  <si>
    <t>14,757</t>
  </si>
  <si>
    <t>Deferred tax</t>
  </si>
  <si>
    <t>34</t>
  </si>
  <si>
    <t>(153)</t>
  </si>
  <si>
    <t>TOTAL TAX EXPENSE</t>
  </si>
  <si>
    <t>15,898</t>
  </si>
  <si>
    <t>14,604</t>
  </si>
  <si>
    <t>PROFIT FOR THE YEAR</t>
  </si>
  <si>
    <t>46,099</t>
  </si>
  <si>
    <t>42,303</t>
  </si>
  <si>
    <t>OTHER COMPREHENSIVE INCOME (OCI)</t>
  </si>
  <si>
    <t>Items that will not be reclassified subsequently to profit or loss</t>
  </si>
  <si>
    <t>Remeasurement of defined employee benefit plans</t>
  </si>
  <si>
    <t>(2)</t>
  </si>
  <si>
    <t>350</t>
  </si>
  <si>
    <t>Net change in fair values of investments in equity shares carried at fair value</t>
  </si>
  <si>
    <t>(6)</t>
  </si>
  <si>
    <t>through OCI</t>
  </si>
  <si>
    <t>Income tax on items that will not be reclassified subsequently to profit or loss</t>
  </si>
  <si>
    <t>(11)</t>
  </si>
  <si>
    <t>(75)</t>
  </si>
  <si>
    <t>Items that will be reclassified subsequently to profit or loss</t>
  </si>
  <si>
    <t>Net change in fair values of investments other than equity shares carried at fair</t>
  </si>
  <si>
    <t>237</t>
  </si>
  <si>
    <t>(679)</t>
  </si>
  <si>
    <t>value through OCI</t>
  </si>
  <si>
    <t>Net change in intrinsic value of derivatives designated as cash flow hedges</t>
  </si>
  <si>
    <t>1</t>
  </si>
  <si>
    <t>(25)</t>
  </si>
  <si>
    <t>Net change in time value of derivatives designated as cash flow hedges</t>
  </si>
  <si>
    <t>32</t>
  </si>
  <si>
    <t>Exchange differences on translation of financial statements of foreign operations</t>
  </si>
  <si>
    <t>44</t>
  </si>
  <si>
    <t>655</t>
  </si>
  <si>
    <t>Income tax on items that will be reclassified subsequently to profit or loss</t>
  </si>
  <si>
    <t>(39)</t>
  </si>
  <si>
    <t>236</t>
  </si>
  <si>
    <t>TOTAL OTHER COMPREHENSIVE INCOME / (LOSSES)</t>
  </si>
  <si>
    <t>492</t>
  </si>
  <si>
    <t>TOTAL COMPREHENSIVE INCOME FOR THE YEAR</t>
  </si>
  <si>
    <t>46,336</t>
  </si>
  <si>
    <t>42,795</t>
  </si>
  <si>
    <t>Profit for the year attributable to:</t>
  </si>
  <si>
    <t>Shareholders of the Company</t>
  </si>
  <si>
    <t>45,908</t>
  </si>
  <si>
    <t>42,147</t>
  </si>
  <si>
    <t>191</t>
  </si>
  <si>
    <t>156</t>
  </si>
  <si>
    <t>Other comprehensive income for the year attributable to:</t>
  </si>
  <si>
    <t>299</t>
  </si>
  <si>
    <t>493</t>
  </si>
  <si>
    <t>(62)</t>
  </si>
  <si>
    <t>(1)</t>
  </si>
  <si>
    <t>Total comprehensive income for the year attributable to:</t>
  </si>
  <si>
    <t>46,207</t>
  </si>
  <si>
    <t>42,640</t>
  </si>
  <si>
    <t>129</t>
  </si>
  <si>
    <t>155</t>
  </si>
  <si>
    <t>Earnings per equity share:- Basic and diluted (`)</t>
  </si>
  <si>
    <t>18</t>
  </si>
  <si>
    <t>125.88</t>
  </si>
  <si>
    <t>Weighted average number of equity shares</t>
  </si>
  <si>
    <t>364,68,51,755</t>
  </si>
  <si>
    <t>365,90,51,373</t>
  </si>
  <si>
    <t>Consolidated Statement of Profit and Loss</t>
  </si>
  <si>
    <t>Year ended
March 31, 2024</t>
  </si>
  <si>
    <t>Year ended
March 31, 2023</t>
  </si>
  <si>
    <t>CASH FLOWS FROM OPERATING ACTIVITIES</t>
  </si>
  <si>
    <t>Profit for the year</t>
  </si>
  <si>
    <t>Adjustments for:</t>
  </si>
  <si>
    <t>Bad debts and advances written off, allowance for expected credit losses and doubtful
advances (net)</t>
  </si>
  <si>
    <t>114</t>
  </si>
  <si>
    <t>Net (gain) / loss on lease modification</t>
  </si>
  <si>
    <t>(7)</t>
  </si>
  <si>
    <t>Unrealised foreign exchange gain</t>
  </si>
  <si>
    <t>(17)</t>
  </si>
  <si>
    <t>(189)</t>
  </si>
  <si>
    <t>Net gain on disposal of property, plant and equipment</t>
  </si>
  <si>
    <t>(26)</t>
  </si>
  <si>
    <t>Net gain on disposal / fair valuation of investments</t>
  </si>
  <si>
    <t>(312)</t>
  </si>
  <si>
    <t>(224)</t>
  </si>
  <si>
    <t>Interest income</t>
  </si>
  <si>
    <t>(3,781)</t>
  </si>
  <si>
    <t>(3,248)</t>
  </si>
  <si>
    <t>Dividend income</t>
  </si>
  <si>
    <t>(41)</t>
  </si>
  <si>
    <t>(15)</t>
  </si>
  <si>
    <t>Operating profit before working capital changes</t>
  </si>
  <si>
    <t>63,709</t>
  </si>
  <si>
    <t>59,148</t>
  </si>
  <si>
    <t>Net change in</t>
  </si>
  <si>
    <t>(8)</t>
  </si>
  <si>
    <t>(3,327)</t>
  </si>
  <si>
    <t>(6,501)</t>
  </si>
  <si>
    <t>(5)</t>
  </si>
  <si>
    <t>(1,182)</t>
  </si>
  <si>
    <t>Loans and other financial assets</t>
  </si>
  <si>
    <t>(301)</t>
  </si>
  <si>
    <t>261</t>
  </si>
  <si>
    <t>(3,160)</t>
  </si>
  <si>
    <t>(632)</t>
  </si>
  <si>
    <t>2,036</t>
  </si>
  <si>
    <t>(740)</t>
  </si>
  <si>
    <t>39</t>
  </si>
  <si>
    <t>(695)</t>
  </si>
  <si>
    <t>1,417</t>
  </si>
  <si>
    <t>Other liabilities and provisions</t>
  </si>
  <si>
    <t>1,978</t>
  </si>
  <si>
    <t>(254)</t>
  </si>
  <si>
    <t>Cash generated from operations</t>
  </si>
  <si>
    <t>56,827</t>
  </si>
  <si>
    <t>54,931</t>
  </si>
  <si>
    <t>Taxes paid (net of refunds)</t>
  </si>
  <si>
    <t>(12,489)</t>
  </si>
  <si>
    <t>(12,966)</t>
  </si>
  <si>
    <t>Net cash generated from operating activities</t>
  </si>
  <si>
    <t>44,338</t>
  </si>
  <si>
    <t>41,965</t>
  </si>
  <si>
    <t>CASH FLOWS FROM INVESTING ACTIVITIES</t>
  </si>
  <si>
    <t>Bank deposits placed</t>
  </si>
  <si>
    <t>(9,471)</t>
  </si>
  <si>
    <t>(4,548)</t>
  </si>
  <si>
    <t>Inter-corporate deposits placed</t>
  </si>
  <si>
    <t>(8,293)</t>
  </si>
  <si>
    <t>Purchase of investments^{#}</t>
  </si>
  <si>
    <t>(141,011)</t>
  </si>
  <si>
    <t>(129,745)</t>
  </si>
  <si>
    <t>Payment for purchase of property, plant and equipment</t>
  </si>
  <si>
    <t>(2,202)</t>
  </si>
  <si>
    <t>(2,532)</t>
  </si>
  <si>
    <t>Payment including advances for acquiring right-of-use assets</t>
  </si>
  <si>
    <t>(30)</t>
  </si>
  <si>
    <t>(213)</t>
  </si>
  <si>
    <t>Payment for purchase of intangible assets</t>
  </si>
  <si>
    <t>(442)</t>
  </si>
  <si>
    <t>(355)</t>
  </si>
  <si>
    <t>Proceeds from bank deposits</t>
  </si>
  <si>
    <t>8,089</t>
  </si>
  <si>
    <t>6,252</t>
  </si>
  <si>
    <t>Proceeds from inter-corporate deposits</t>
  </si>
  <si>
    <t>846</t>
  </si>
  <si>
    <t>13,654</t>
  </si>
  <si>
    <t>Proceeds from disposal / redemption of investments^{#}</t>
  </si>
  <si>
    <t>1,47,204</t>
  </si>
  <si>
    <t>1,22,687</t>
  </si>
  <si>
    <t>Proceeds from sub-lease receivable</t>
  </si>
  <si>
    <t>3</t>
  </si>
  <si>
    <t>Proceeds from disposal of property, plant and equipment</t>
  </si>
  <si>
    <t>37</t>
  </si>
  <si>
    <t>Proceeds from disposal of intangible assets</t>
  </si>
  <si>
    <t>7</t>
  </si>
  <si>
    <t>Interest received</t>
  </si>
  <si>
    <t>2,990</t>
  </si>
  <si>
    <t>3,080</t>
  </si>
  <si>
    <t>Dividend received</t>
  </si>
  <si>
    <t>26</t>
  </si>
  <si>
    <t>Net cash generated from investing activities</t>
  </si>
  <si>
    <t>6,026</t>
  </si>
  <si>
    <t>CASH FLOWS FROM FINANCING ACTIVITIES</t>
  </si>
  <si>
    <t>Repayment of lease liabilities</t>
  </si>
  <si>
    <t>(1,614)</t>
  </si>
  <si>
    <t>(1,515)</t>
  </si>
  <si>
    <t>Interest paid</t>
  </si>
  <si>
    <t>(699)</t>
  </si>
  <si>
    <t>(779)</t>
  </si>
  <si>
    <t>Dividend paid</t>
  </si>
  <si>
    <t>(25,137)</t>
  </si>
  <si>
    <t>(41,347)</t>
  </si>
  <si>
    <t>Dividend paid to non-controlling interests</t>
  </si>
  <si>
    <t>(81)</t>
  </si>
  <si>
    <t>(63)</t>
  </si>
  <si>
    <t>Transfer of funds to buy-back escrow account</t>
  </si>
  <si>
    <t>(425)</t>
  </si>
  <si>
    <t>Transfer of funds from buy-back escrow account</t>
  </si>
  <si>
    <t>425</t>
  </si>
  <si>
    <t>Expenses for buy-back of equity shares (Refer note 8(m))</t>
  </si>
  <si>
    <t>(46)</t>
  </si>
  <si>
    <t>Tax on buy-back of equity shares (Refer note 8(m))</t>
  </si>
  <si>
    <t>(3,959)</t>
  </si>
  <si>
    <t>(4,192)</t>
  </si>
  <si>
    <t>Buy-back of equity shares (Refer note 8(m))</t>
  </si>
  <si>
    <t>(17,000)</t>
  </si>
  <si>
    <t>Net cash used in financing activities</t>
  </si>
  <si>
    <t>(48,536)</t>
  </si>
  <si>
    <t>(47,878)</t>
  </si>
  <si>
    <t>Net change in cash and cash equivalents</t>
  </si>
  <si>
    <t>1,828</t>
  </si>
  <si>
    <t>(5,874)</t>
  </si>
  <si>
    <t>Cash and cash equivalents at the beginning of the year</t>
  </si>
  <si>
    <t>12,488</t>
  </si>
  <si>
    <t>Exchange difference on translation of foreign currency cash and cash equivalents</t>
  </si>
  <si>
    <t>65</t>
  </si>
  <si>
    <t>509</t>
  </si>
  <si>
    <t>Cash and cash equivalents at the end of the year</t>
  </si>
  <si>
    <t>Components of cash and cash equivalents</t>
  </si>
  <si>
    <t>Balances with banks</t>
  </si>
  <si>
    <t>In current accounts</t>
  </si>
  <si>
    <t>2,804</t>
  </si>
  <si>
    <t>2,114</t>
  </si>
  <si>
    <t>In deposit accounts</t>
  </si>
  <si>
    <t>6,212</t>
  </si>
  <si>
    <t>4,999</t>
  </si>
  <si>
    <t>Cheques on hand</t>
  </si>
  <si>
    <t>-*</t>
  </si>
  <si>
    <t>Cash on hand</t>
  </si>
  <si>
    <t>Remittances in transit</t>
  </si>
  <si>
    <t>10</t>
  </si>
  <si>
    <t>Consolidated Statement of Cash Flows</t>
  </si>
  <si>
    <t>Row Labels</t>
  </si>
  <si>
    <t>Grand Total</t>
  </si>
  <si>
    <t>Column1</t>
  </si>
  <si>
    <t>Column2</t>
  </si>
  <si>
    <t>Column3</t>
  </si>
  <si>
    <t>Revenue</t>
  </si>
  <si>
    <t>Revenue by Geographic Segments</t>
  </si>
  <si>
    <t>India</t>
  </si>
  <si>
    <t>Europe</t>
  </si>
  <si>
    <t>Others</t>
  </si>
  <si>
    <t>FY 2024</t>
  </si>
  <si>
    <t>FY 2023</t>
  </si>
  <si>
    <t>Total Revenue</t>
  </si>
  <si>
    <t>FY-2024</t>
  </si>
  <si>
    <t>FY-2022</t>
  </si>
  <si>
    <t>FY-2021</t>
  </si>
  <si>
    <t>FY 2022</t>
  </si>
  <si>
    <t>FY 2021</t>
  </si>
  <si>
    <t>America</t>
  </si>
  <si>
    <t xml:space="preserve"> FY-2023</t>
  </si>
  <si>
    <t>Name</t>
  </si>
  <si>
    <t>N Chandrasekaran</t>
  </si>
  <si>
    <t>Aarthi Subramanian</t>
  </si>
  <si>
    <t>K Krithivasan</t>
  </si>
  <si>
    <t>N G Subramaniam</t>
  </si>
  <si>
    <t>Keki Mistry*</t>
  </si>
  <si>
    <t>Number of equity shares</t>
  </si>
  <si>
    <t>Total</t>
  </si>
  <si>
    <t>Sum of Number of equity shares</t>
  </si>
  <si>
    <t>NSE</t>
  </si>
  <si>
    <t>BSE</t>
  </si>
  <si>
    <t>Month</t>
  </si>
  <si>
    <t>4,38,24,242</t>
  </si>
  <si>
    <t>19,57,145</t>
  </si>
  <si>
    <t>3,66,16,015</t>
  </si>
  <si>
    <t>8,71,528</t>
  </si>
  <si>
    <t>3,83,61,975</t>
  </si>
  <si>
    <t>19,84,292</t>
  </si>
  <si>
    <t>4,76,58,115</t>
  </si>
  <si>
    <t>17,30,994</t>
  </si>
  <si>
    <t>3,59,20,566</t>
  </si>
  <si>
    <t>22,22,209</t>
  </si>
  <si>
    <t>3,84,42,941</t>
  </si>
  <si>
    <t>16,32,903</t>
  </si>
  <si>
    <t>3,98,18,106</t>
  </si>
  <si>
    <t>33,52,847</t>
  </si>
  <si>
    <t>3,63,81,184</t>
  </si>
  <si>
    <t>22,09,366</t>
  </si>
  <si>
    <t>4,55,72,195</t>
  </si>
  <si>
    <t>23,01,605</t>
  </si>
  <si>
    <t>4,82,46,534</t>
  </si>
  <si>
    <t>50,68,946</t>
  </si>
  <si>
    <t>4,34,10,829</t>
  </si>
  <si>
    <t>27,05,972</t>
  </si>
  <si>
    <t>5,75,14,817</t>
  </si>
  <si>
    <t>2,75,18,584</t>
  </si>
  <si>
    <t>High (Rs.)</t>
  </si>
  <si>
    <t>Low (Rs.)</t>
  </si>
  <si>
    <t>High (Rs.)2</t>
  </si>
  <si>
    <t>Total number of equity shares traded</t>
  </si>
  <si>
    <t>Low (Rs.)3</t>
  </si>
  <si>
    <t>Total number of equity shares traded4</t>
  </si>
  <si>
    <t>Category</t>
  </si>
  <si>
    <t>Promoter</t>
  </si>
  <si>
    <t>Other Entities of Promoter Group</t>
  </si>
  <si>
    <t>Mutual Funds</t>
  </si>
  <si>
    <t>Banks, Financial Institutions, State and Central Government</t>
  </si>
  <si>
    <t>Insurance Companies</t>
  </si>
  <si>
    <t>Foreign InstitutionaI Investors</t>
  </si>
  <si>
    <t>NRIs, OBCs, Foreign Nationals</t>
  </si>
  <si>
    <t>Corporate Bodies, Trusts</t>
  </si>
  <si>
    <t>Indian Public and Others</t>
  </si>
  <si>
    <t>Alternate Investment Fund</t>
  </si>
  <si>
    <t>IEPF Account</t>
  </si>
  <si>
    <t>Category wise equity 
Shareholding</t>
  </si>
  <si>
    <t>Sum of Category wise equity Shareholding</t>
  </si>
  <si>
    <t>Share Prices</t>
  </si>
  <si>
    <t>Average Share Price</t>
  </si>
  <si>
    <t>High</t>
  </si>
  <si>
    <t>Low</t>
  </si>
  <si>
    <t xml:space="preserve">Date </t>
  </si>
  <si>
    <t xml:space="preserve">series </t>
  </si>
  <si>
    <t xml:space="preserve">OPEN </t>
  </si>
  <si>
    <t xml:space="preserve">HIGH </t>
  </si>
  <si>
    <t xml:space="preserve">LOW </t>
  </si>
  <si>
    <t xml:space="preserve">PREV. CLOSE </t>
  </si>
  <si>
    <t xml:space="preserve">ltp </t>
  </si>
  <si>
    <t xml:space="preserve">close </t>
  </si>
  <si>
    <t xml:space="preserve">vwap </t>
  </si>
  <si>
    <t xml:space="preserve">52W H </t>
  </si>
  <si>
    <t xml:space="preserve">52W L </t>
  </si>
  <si>
    <t xml:space="preserve">VOLUME </t>
  </si>
  <si>
    <t xml:space="preserve">VALUE </t>
  </si>
  <si>
    <t xml:space="preserve">No of trades </t>
  </si>
  <si>
    <t>EQ</t>
  </si>
  <si>
    <t>43,11,783</t>
  </si>
  <si>
    <t>16,73,21,86,615.05</t>
  </si>
  <si>
    <t>2,42,073</t>
  </si>
  <si>
    <t>19,68,575</t>
  </si>
  <si>
    <t>7,60,18,45,471.00</t>
  </si>
  <si>
    <t>1,52,258</t>
  </si>
  <si>
    <t>34,40,925</t>
  </si>
  <si>
    <t>13,39,99,53,628.95</t>
  </si>
  <si>
    <t>1,76,329</t>
  </si>
  <si>
    <t>58,52,485</t>
  </si>
  <si>
    <t>22,84,36,70,096.35</t>
  </si>
  <si>
    <t>4,31,155</t>
  </si>
  <si>
    <t>38,29,582</t>
  </si>
  <si>
    <t>15,21,46,04,392.05</t>
  </si>
  <si>
    <t>2,27,156</t>
  </si>
  <si>
    <t>18,17,913</t>
  </si>
  <si>
    <t>7,26,27,45,848.35</t>
  </si>
  <si>
    <t>1,34,030</t>
  </si>
  <si>
    <t>89,31,209</t>
  </si>
  <si>
    <t>35,92,62,06,807.15</t>
  </si>
  <si>
    <t>2,93,529</t>
  </si>
  <si>
    <t>15,26,904</t>
  </si>
  <si>
    <t>6,40,80,84,083.05</t>
  </si>
  <si>
    <t>1,29,335</t>
  </si>
  <si>
    <t>33,73,143</t>
  </si>
  <si>
    <t>14,21,20,88,365.25</t>
  </si>
  <si>
    <t>1,76,623</t>
  </si>
  <si>
    <t>29,19,608</t>
  </si>
  <si>
    <t>12,16,39,65,941.70</t>
  </si>
  <si>
    <t>2,62,125</t>
  </si>
  <si>
    <t>28,37,260</t>
  </si>
  <si>
    <t>11,85,21,84,104.80</t>
  </si>
  <si>
    <t>2,08,881</t>
  </si>
  <si>
    <t>40,39,801</t>
  </si>
  <si>
    <t>16,96,02,33,961.30</t>
  </si>
  <si>
    <t>2,16,551</t>
  </si>
  <si>
    <t>23,04,068</t>
  </si>
  <si>
    <t>9,50,41,84,843.45</t>
  </si>
  <si>
    <t>1,88,233</t>
  </si>
  <si>
    <t>26,88,905</t>
  </si>
  <si>
    <t>11,02,18,20,076.20</t>
  </si>
  <si>
    <t>1,54,179</t>
  </si>
  <si>
    <t>17,44,204</t>
  </si>
  <si>
    <t>6,99,88,78,535.55</t>
  </si>
  <si>
    <t>1,40,908</t>
  </si>
  <si>
    <t>20,70,859</t>
  </si>
  <si>
    <t>8,31,93,42,582.80</t>
  </si>
  <si>
    <t>1,52,615</t>
  </si>
  <si>
    <t>17,49,271</t>
  </si>
  <si>
    <t>7,15,49,55,206.30</t>
  </si>
  <si>
    <t>1,14,412</t>
  </si>
  <si>
    <t>26,74,26,764.05</t>
  </si>
  <si>
    <t>20,43,265</t>
  </si>
  <si>
    <t>8,39,95,55,212.15</t>
  </si>
  <si>
    <t>1,57,981</t>
  </si>
  <si>
    <t>37,72,719</t>
  </si>
  <si>
    <t>15,46,28,63,779.50</t>
  </si>
  <si>
    <t>1,65,001</t>
  </si>
  <si>
    <t>19,39,225</t>
  </si>
  <si>
    <t>8,00,19,15,262.30</t>
  </si>
  <si>
    <t>1,39,242</t>
  </si>
  <si>
    <t>29,60,475</t>
  </si>
  <si>
    <t>12,08,90,17,645.25</t>
  </si>
  <si>
    <t>2,35,296</t>
  </si>
  <si>
    <t>13,79,284</t>
  </si>
  <si>
    <t>5,51,97,38,697.40</t>
  </si>
  <si>
    <t>1,68,908</t>
  </si>
  <si>
    <t>25,38,072</t>
  </si>
  <si>
    <t>10,37,24,88,169.05</t>
  </si>
  <si>
    <t>2,07,942</t>
  </si>
  <si>
    <t>29,82,052</t>
  </si>
  <si>
    <t>12,03,77,60,611.30</t>
  </si>
  <si>
    <t>2,33,453</t>
  </si>
  <si>
    <t>18,85,939</t>
  </si>
  <si>
    <t>7,59,27,48,600.05</t>
  </si>
  <si>
    <t>1,35,075</t>
  </si>
  <si>
    <t>11,93,648</t>
  </si>
  <si>
    <t>4,83,16,25,596.80</t>
  </si>
  <si>
    <t>1,08,310</t>
  </si>
  <si>
    <t>7,72,291</t>
  </si>
  <si>
    <t>3,16,08,00,378.55</t>
  </si>
  <si>
    <t>13,07,556</t>
  </si>
  <si>
    <t>5,39,24,47,497.55</t>
  </si>
  <si>
    <t>1,25,414</t>
  </si>
  <si>
    <t>10,91,582</t>
  </si>
  <si>
    <t>4,48,34,99,686.35</t>
  </si>
  <si>
    <t>1,17,286</t>
  </si>
  <si>
    <t>13,91,283</t>
  </si>
  <si>
    <t>5,69,32,75,185.95</t>
  </si>
  <si>
    <t>1,26,863</t>
  </si>
  <si>
    <t>12,57,415</t>
  </si>
  <si>
    <t>5,19,31,63,729.60</t>
  </si>
  <si>
    <t>1,40,800</t>
  </si>
  <si>
    <t>10,13,716</t>
  </si>
  <si>
    <t>4,18,47,16,444.45</t>
  </si>
  <si>
    <t>1,10,339</t>
  </si>
  <si>
    <t>21,00,596</t>
  </si>
  <si>
    <t>8,68,70,13,883.30</t>
  </si>
  <si>
    <t>2,04,415</t>
  </si>
  <si>
    <t>23,45,173</t>
  </si>
  <si>
    <t>9,66,85,40,283.35</t>
  </si>
  <si>
    <t>2,12,471</t>
  </si>
  <si>
    <t>21,24,267</t>
  </si>
  <si>
    <t>8,74,20,61,109.55</t>
  </si>
  <si>
    <t>1,77,689</t>
  </si>
  <si>
    <t>44,74,396</t>
  </si>
  <si>
    <t>18,37,33,68,282.15</t>
  </si>
  <si>
    <t>3,25,723</t>
  </si>
  <si>
    <t>16,91,523</t>
  </si>
  <si>
    <t>6,75,94,38,477.25</t>
  </si>
  <si>
    <t>1,56,341</t>
  </si>
  <si>
    <t>28,26,510</t>
  </si>
  <si>
    <t>11,14,91,16,302.85</t>
  </si>
  <si>
    <t>2,71,200</t>
  </si>
  <si>
    <t>23,63,107</t>
  </si>
  <si>
    <t>9,13,07,67,055.90</t>
  </si>
  <si>
    <t>2,00,156</t>
  </si>
  <si>
    <t>24,59,358</t>
  </si>
  <si>
    <t>9,38,22,20,705.45</t>
  </si>
  <si>
    <t>1,66,663</t>
  </si>
  <si>
    <t>14,11,621</t>
  </si>
  <si>
    <t>5,38,78,16,849.15</t>
  </si>
  <si>
    <t>16,46,747</t>
  </si>
  <si>
    <t>6,25,51,55,335.60</t>
  </si>
  <si>
    <t>1,14,028</t>
  </si>
  <si>
    <t>22,05,154</t>
  </si>
  <si>
    <t>8,38,63,94,648.75</t>
  </si>
  <si>
    <t>1,86,169</t>
  </si>
  <si>
    <t>26,57,709</t>
  </si>
  <si>
    <t>10,21,09,48,798.05</t>
  </si>
  <si>
    <t>1,19,466</t>
  </si>
  <si>
    <t>26,18,854</t>
  </si>
  <si>
    <t>10,16,58,79,227.30</t>
  </si>
  <si>
    <t>2,14,176</t>
  </si>
  <si>
    <t>5,16,477</t>
  </si>
  <si>
    <t>2,01,26,14,827.20</t>
  </si>
  <si>
    <t>29,41,975</t>
  </si>
  <si>
    <t>11,59,94,14,329.35</t>
  </si>
  <si>
    <t>2,72,591</t>
  </si>
  <si>
    <t>22,39,110</t>
  </si>
  <si>
    <t>8,70,56,05,580.15</t>
  </si>
  <si>
    <t>2,00,495</t>
  </si>
  <si>
    <t>34,58,696</t>
  </si>
  <si>
    <t>13,42,86,30,127.85</t>
  </si>
  <si>
    <t>1,61,556</t>
  </si>
  <si>
    <t>14,32,672</t>
  </si>
  <si>
    <t>5,54,95,55,027.65</t>
  </si>
  <si>
    <t>1,57,027</t>
  </si>
  <si>
    <t>28,01,505</t>
  </si>
  <si>
    <t>10,98,93,86,687.15</t>
  </si>
  <si>
    <t>2,65,310</t>
  </si>
  <si>
    <t>68,13,450</t>
  </si>
  <si>
    <t>26,39,28,05,818.30</t>
  </si>
  <si>
    <t>3,37,824</t>
  </si>
  <si>
    <t>17,77,909</t>
  </si>
  <si>
    <t>6,64,65,66,140.90</t>
  </si>
  <si>
    <t>1,35,916</t>
  </si>
  <si>
    <t>12,92,227</t>
  </si>
  <si>
    <t>4,79,02,02,220.40</t>
  </si>
  <si>
    <t>1,11,912</t>
  </si>
  <si>
    <t>13,70,944</t>
  </si>
  <si>
    <t>5,09,46,42,955.85</t>
  </si>
  <si>
    <t>1,12,174</t>
  </si>
  <si>
    <t>10,67,805</t>
  </si>
  <si>
    <t>3,94,70,62,246.40</t>
  </si>
  <si>
    <t>1,37,547</t>
  </si>
  <si>
    <t>19,63,127</t>
  </si>
  <si>
    <t>7,30,61,70,829.65</t>
  </si>
  <si>
    <t>1,55,406</t>
  </si>
  <si>
    <t>35,98,144</t>
  </si>
  <si>
    <t>13,19,91,52,251.35</t>
  </si>
  <si>
    <t>2,20,494</t>
  </si>
  <si>
    <t>18,03,075</t>
  </si>
  <si>
    <t>6,69,25,84,987.50</t>
  </si>
  <si>
    <t>2,08,012</t>
  </si>
  <si>
    <t>13,44,068</t>
  </si>
  <si>
    <t>5,09,00,55,959.15</t>
  </si>
  <si>
    <t>1,33,902</t>
  </si>
  <si>
    <t>8,25,907</t>
  </si>
  <si>
    <t>3,14,19,74,600.85</t>
  </si>
  <si>
    <t>Open</t>
  </si>
  <si>
    <t>Close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</si>
</sst>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0_);_(* \(#,##0\);_(* &quot;-&quot;??_);_(@_)"/>
    <numFmt numFmtId="165" formatCode="mmm\-yyyy"/>
    <numFmt numFmtId="166" formatCode="[$₹-439]#,##0.0"/>
    <numFmt numFmtId="167" formatCode="0.0"/>
    <numFmt numFmtId="168" formatCode="#,##0.0"/>
  </numFmts>
  <fonts count="12">
    <font>
      <sz val="11"/>
      <color theme="1"/>
      <name val="Calibri"/>
      <family val="2"/>
      <scheme val="minor"/>
    </font>
    <font>
      <sz val="11"/>
      <color rgb="FFFA7D00"/>
      <name val="Calibri"/>
      <family val="2"/>
      <scheme val="minor"/>
    </font>
    <font>
      <sz val="11"/>
      <color rgb="FFFF0000"/>
      <name val="Calibri"/>
      <family val="2"/>
      <scheme val="minor"/>
    </font>
    <font>
      <b/>
      <sz val="14"/>
      <color theme="1"/>
      <name val="Calibri"/>
      <family val="2"/>
      <scheme val="minor"/>
    </font>
    <font>
      <sz val="8"/>
      <name val="Calibri"/>
      <family val="2"/>
      <scheme val="minor"/>
    </font>
    <font>
      <sz val="18"/>
      <color rgb="FFFF0000"/>
      <name val="Calibri"/>
      <family val="2"/>
      <scheme val="minor"/>
    </font>
    <font>
      <b/>
      <sz val="12"/>
      <color theme="1"/>
      <name val="Calibri"/>
      <family val="2"/>
      <scheme val="minor"/>
    </font>
    <font>
      <sz val="12"/>
      <color theme="3"/>
      <name val="Calibri"/>
      <family val="2"/>
      <scheme val="minor"/>
    </font>
    <font>
      <sz val="11"/>
      <color theme="1"/>
      <name val="Calibri"/>
      <family val="2"/>
      <scheme val="minor"/>
    </font>
    <font>
      <b/>
      <sz val="11"/>
      <color theme="1"/>
      <name val="Calibri"/>
      <family val="2"/>
      <scheme val="minor"/>
    </font>
    <font>
      <sz val="11"/>
      <color indexed="8"/>
      <name val="Calibri"/>
      <charset val="134"/>
    </font>
    <font>
      <b/>
      <sz val="12"/>
      <color indexed="8"/>
      <name val="Calibri"/>
      <family val="2"/>
    </font>
  </fonts>
  <fills count="3">
    <fill>
      <patternFill patternType="none"/>
    </fill>
    <fill>
      <patternFill patternType="gray125"/>
    </fill>
    <fill>
      <patternFill patternType="solid">
        <fgColor theme="8" tint="0.79998168889431442"/>
        <bgColor indexed="64"/>
      </patternFill>
    </fill>
  </fills>
  <borders count="14">
    <border>
      <left/>
      <right/>
      <top/>
      <bottom/>
      <diagonal/>
    </border>
    <border>
      <left/>
      <right/>
      <top/>
      <bottom style="double">
        <color rgb="FFFF8001"/>
      </bottom>
      <diagonal/>
    </border>
    <border>
      <left/>
      <right/>
      <top style="thin">
        <color rgb="FFFF8001"/>
      </top>
      <bottom style="double">
        <color rgb="FFFF8001"/>
      </bottom>
      <diagonal/>
    </border>
    <border>
      <left/>
      <right style="thin">
        <color theme="8"/>
      </right>
      <top style="thin">
        <color theme="8"/>
      </top>
      <bottom/>
      <diagonal/>
    </border>
    <border>
      <left/>
      <right/>
      <top/>
      <bottom style="thin">
        <color theme="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 fillId="0" borderId="1" applyNumberFormat="0" applyFill="0" applyAlignment="0" applyProtection="0"/>
    <xf numFmtId="43" fontId="8" fillId="0" borderId="0" applyFont="0" applyFill="0" applyBorder="0" applyAlignment="0" applyProtection="0"/>
  </cellStyleXfs>
  <cellXfs count="55">
    <xf numFmtId="0" fontId="0" fillId="0" borderId="0" xfId="0"/>
    <xf numFmtId="0" fontId="0" fillId="0" borderId="0" xfId="0" applyNumberFormat="1"/>
    <xf numFmtId="0" fontId="3" fillId="0" borderId="0" xfId="0" applyNumberFormat="1" applyFont="1"/>
    <xf numFmtId="15" fontId="0" fillId="0" borderId="0" xfId="0" applyNumberFormat="1"/>
    <xf numFmtId="0" fontId="5" fillId="0" borderId="0" xfId="0" applyFont="1" applyAlignment="1">
      <alignment horizontal="center"/>
    </xf>
    <xf numFmtId="0" fontId="2" fillId="0" borderId="0" xfId="0" applyFont="1" applyAlignment="1">
      <alignment horizontal="center"/>
    </xf>
    <xf numFmtId="0" fontId="0" fillId="0" borderId="0" xfId="0" applyNumberFormat="1" applyAlignment="1">
      <alignment horizontal="right"/>
    </xf>
    <xf numFmtId="0" fontId="6" fillId="0" borderId="0" xfId="0" applyNumberFormat="1" applyFont="1"/>
    <xf numFmtId="0" fontId="1" fillId="0" borderId="1" xfId="1" applyNumberFormat="1" applyAlignment="1">
      <alignment horizontal="right"/>
    </xf>
    <xf numFmtId="0" fontId="1" fillId="0" borderId="0" xfId="1" applyNumberFormat="1" applyBorder="1" applyAlignment="1">
      <alignment horizontal="right"/>
    </xf>
    <xf numFmtId="0" fontId="7" fillId="0" borderId="2" xfId="1" applyNumberFormat="1" applyFont="1" applyBorder="1" applyAlignment="1">
      <alignment horizontal="right"/>
    </xf>
    <xf numFmtId="0" fontId="5" fillId="0" borderId="0" xfId="0" applyFont="1" applyAlignment="1">
      <alignment horizontal="center"/>
    </xf>
    <xf numFmtId="0" fontId="2" fillId="0" borderId="0" xfId="0" applyFont="1" applyAlignment="1">
      <alignment horizontal="center"/>
    </xf>
    <xf numFmtId="0" fontId="0" fillId="0" borderId="3" xfId="0" applyNumberFormat="1" applyFont="1" applyBorder="1" applyAlignment="1">
      <alignment horizontal="right"/>
    </xf>
    <xf numFmtId="2" fontId="0" fillId="0" borderId="0" xfId="0" applyNumberFormat="1" applyAlignment="1">
      <alignment horizontal="right"/>
    </xf>
    <xf numFmtId="2" fontId="7" fillId="0" borderId="2" xfId="1" applyNumberFormat="1" applyFont="1" applyBorder="1" applyAlignment="1">
      <alignment horizontal="right"/>
    </xf>
    <xf numFmtId="2" fontId="1" fillId="0" borderId="1" xfId="1" applyNumberFormat="1" applyAlignment="1">
      <alignment horizontal="right"/>
    </xf>
    <xf numFmtId="0" fontId="3" fillId="0" borderId="0" xfId="0" applyNumberFormat="1" applyFont="1" applyAlignment="1">
      <alignment wrapText="1"/>
    </xf>
    <xf numFmtId="0" fontId="0" fillId="0" borderId="0" xfId="0" pivotButton="1"/>
    <xf numFmtId="0" fontId="0" fillId="0" borderId="0" xfId="0" applyAlignment="1">
      <alignment horizontal="left"/>
    </xf>
    <xf numFmtId="3" fontId="0" fillId="0" borderId="0" xfId="0" applyNumberFormat="1"/>
    <xf numFmtId="0" fontId="3" fillId="0" borderId="0" xfId="0" applyNumberFormat="1" applyFont="1" applyBorder="1"/>
    <xf numFmtId="0" fontId="0" fillId="0" borderId="0" xfId="0" applyAlignment="1">
      <alignment horizontal="center" vertical="center"/>
    </xf>
    <xf numFmtId="0" fontId="3" fillId="0" borderId="4" xfId="0" applyNumberFormat="1" applyFont="1" applyBorder="1"/>
    <xf numFmtId="164" fontId="0" fillId="0" borderId="0" xfId="2" applyNumberFormat="1" applyFont="1" applyAlignment="1">
      <alignment horizontal="right"/>
    </xf>
    <xf numFmtId="164" fontId="0" fillId="0" borderId="0" xfId="2" applyNumberFormat="1" applyFont="1"/>
    <xf numFmtId="0" fontId="0" fillId="0" borderId="0" xfId="0" applyAlignment="1">
      <alignment wrapText="1"/>
    </xf>
    <xf numFmtId="165" fontId="0" fillId="0" borderId="0" xfId="0" applyNumberFormat="1" applyAlignment="1">
      <alignment horizontal="left"/>
    </xf>
    <xf numFmtId="166" fontId="0" fillId="0" borderId="0" xfId="0" applyNumberFormat="1"/>
    <xf numFmtId="2" fontId="0" fillId="0" borderId="0" xfId="0" applyNumberFormat="1" applyAlignment="1">
      <alignment horizontal="center"/>
    </xf>
    <xf numFmtId="164" fontId="0" fillId="0" borderId="0" xfId="0" applyNumberFormat="1"/>
    <xf numFmtId="0" fontId="10" fillId="0" borderId="0" xfId="0" applyNumberFormat="1" applyFont="1" applyFill="1" applyBorder="1" applyAlignment="1" applyProtection="1">
      <alignment vertical="center"/>
    </xf>
    <xf numFmtId="15" fontId="10" fillId="0" borderId="0" xfId="0" applyNumberFormat="1" applyFont="1" applyFill="1" applyBorder="1" applyAlignment="1" applyProtection="1">
      <alignment vertical="center"/>
    </xf>
    <xf numFmtId="0" fontId="11" fillId="0" borderId="0" xfId="0" applyNumberFormat="1" applyFont="1" applyFill="1" applyBorder="1" applyAlignment="1" applyProtection="1">
      <alignment vertical="center"/>
    </xf>
    <xf numFmtId="4" fontId="10" fillId="0" borderId="0" xfId="0" applyNumberFormat="1" applyFont="1" applyFill="1" applyBorder="1" applyAlignment="1" applyProtection="1">
      <alignment horizontal="center" vertical="center"/>
    </xf>
    <xf numFmtId="0" fontId="10" fillId="0" borderId="0" xfId="0" applyNumberFormat="1" applyFont="1" applyFill="1" applyBorder="1" applyAlignment="1" applyProtection="1">
      <alignment horizontal="center" vertical="center"/>
    </xf>
    <xf numFmtId="3" fontId="10" fillId="0" borderId="0" xfId="0" applyNumberFormat="1" applyFont="1" applyFill="1" applyBorder="1" applyAlignment="1" applyProtection="1">
      <alignment horizontal="center" vertical="center"/>
    </xf>
    <xf numFmtId="168" fontId="10" fillId="0" borderId="0" xfId="0" applyNumberFormat="1" applyFont="1" applyFill="1" applyBorder="1" applyAlignment="1" applyProtection="1">
      <alignment horizontal="center" vertical="center"/>
    </xf>
    <xf numFmtId="0" fontId="0" fillId="0" borderId="5" xfId="0" applyBorder="1" applyAlignment="1">
      <alignment horizontal="center"/>
    </xf>
    <xf numFmtId="167" fontId="0" fillId="0" borderId="5" xfId="0" applyNumberFormat="1" applyBorder="1" applyAlignment="1">
      <alignment horizontal="center"/>
    </xf>
    <xf numFmtId="0" fontId="0" fillId="0" borderId="6" xfId="0" applyBorder="1"/>
    <xf numFmtId="0" fontId="0" fillId="0" borderId="9" xfId="0" applyBorder="1"/>
    <xf numFmtId="0" fontId="0" fillId="0" borderId="10" xfId="0" applyBorder="1" applyAlignment="1">
      <alignment horizontal="center"/>
    </xf>
    <xf numFmtId="0" fontId="9" fillId="0" borderId="9" xfId="0" applyFont="1" applyBorder="1" applyAlignment="1">
      <alignment horizontal="center"/>
    </xf>
    <xf numFmtId="167" fontId="0" fillId="0" borderId="10" xfId="0" applyNumberFormat="1" applyBorder="1" applyAlignment="1">
      <alignment horizontal="center"/>
    </xf>
    <xf numFmtId="0" fontId="9" fillId="0" borderId="11" xfId="0" applyFont="1" applyBorder="1" applyAlignment="1">
      <alignment horizontal="center"/>
    </xf>
    <xf numFmtId="167" fontId="0" fillId="0" borderId="12" xfId="0" applyNumberFormat="1" applyBorder="1" applyAlignment="1">
      <alignment horizontal="center"/>
    </xf>
    <xf numFmtId="167" fontId="0" fillId="0" borderId="13" xfId="0" applyNumberFormat="1" applyBorder="1" applyAlignment="1">
      <alignment horizontal="center"/>
    </xf>
    <xf numFmtId="0" fontId="5" fillId="0" borderId="0" xfId="0" applyFont="1" applyAlignment="1">
      <alignment horizontal="center"/>
    </xf>
    <xf numFmtId="0" fontId="2" fillId="0" borderId="0" xfId="0" applyFont="1" applyAlignment="1">
      <alignment horizontal="center"/>
    </xf>
    <xf numFmtId="0" fontId="3" fillId="0" borderId="0" xfId="0" applyFont="1" applyAlignment="1">
      <alignment horizontal="center"/>
    </xf>
    <xf numFmtId="0" fontId="0" fillId="0" borderId="0" xfId="0" applyAlignment="1">
      <alignment horizontal="center"/>
    </xf>
    <xf numFmtId="0" fontId="6" fillId="0" borderId="7" xfId="0" applyFont="1" applyBorder="1" applyAlignment="1">
      <alignment horizontal="center"/>
    </xf>
    <xf numFmtId="0" fontId="6" fillId="0" borderId="8" xfId="0" applyFont="1" applyBorder="1" applyAlignment="1">
      <alignment horizontal="center"/>
    </xf>
    <xf numFmtId="0" fontId="0" fillId="2" borderId="0" xfId="0" applyFill="1"/>
  </cellXfs>
  <cellStyles count="3">
    <cellStyle name="Comma" xfId="2" builtinId="3"/>
    <cellStyle name="Linked Cell" xfId="1" builtinId="24"/>
    <cellStyle name="Normal" xfId="0" builtinId="0"/>
  </cellStyles>
  <dxfs count="31">
    <dxf>
      <alignment horizontal="center"/>
    </dxf>
    <dxf>
      <alignment vertical="center"/>
    </dxf>
    <dxf>
      <numFmt numFmtId="164" formatCode="_(* #,##0_);_(* \(#,##0\);_(* &quot;-&quot;??_);_(@_)"/>
    </dxf>
    <dxf>
      <numFmt numFmtId="164" formatCode="_(* #,##0_);_(* \(#,##0\);_(* &quot;-&quot;??_);_(@_)"/>
    </dxf>
    <dxf>
      <numFmt numFmtId="0" formatCode="General"/>
    </dxf>
    <dxf>
      <numFmt numFmtId="2" formatCode="0.00"/>
      <alignment horizontal="center" vertical="bottom" textRotation="0" wrapText="0" indent="0" justifyLastLine="0" shrinkToFit="0" readingOrder="0"/>
    </dxf>
    <dxf>
      <numFmt numFmtId="166" formatCode="[$₹-439]#,##0.0"/>
    </dxf>
    <dxf>
      <numFmt numFmtId="166" formatCode="[$₹-439]#,##0.0"/>
    </dxf>
    <dxf>
      <numFmt numFmtId="2" formatCode="0.00"/>
      <alignment horizontal="center" vertical="bottom" textRotation="0" wrapText="0" indent="0" justifyLastLine="0" shrinkToFit="0" readingOrder="0"/>
    </dxf>
    <dxf>
      <numFmt numFmtId="166" formatCode="[$₹-439]#,##0.0"/>
    </dxf>
    <dxf>
      <numFmt numFmtId="166" formatCode="[$₹-439]#,##0.0"/>
    </dxf>
    <dxf>
      <numFmt numFmtId="165" formatCode="mmm\-yyyy"/>
      <alignment horizontal="left" vertical="bottom" textRotation="0" wrapText="0" indent="0" justifyLastLine="0" shrinkToFit="0" readingOrder="0"/>
    </dxf>
    <dxf>
      <numFmt numFmtId="3" formatCode="#,##0"/>
    </dxf>
    <dxf>
      <border outline="0">
        <top style="thin">
          <color theme="8"/>
        </top>
      </border>
    </dxf>
    <dxf>
      <border outline="0">
        <bottom style="thin">
          <color theme="1"/>
        </bottom>
      </border>
    </dxf>
    <dxf>
      <font>
        <b/>
        <i val="0"/>
        <strike val="0"/>
        <condense val="0"/>
        <extend val="0"/>
        <outline val="0"/>
        <shadow val="0"/>
        <u val="none"/>
        <vertAlign val="baseline"/>
        <sz val="14"/>
        <color theme="1"/>
        <name val="Calibri"/>
        <family val="2"/>
        <scheme val="minor"/>
      </font>
      <numFmt numFmtId="0" formatCode="General"/>
    </dxf>
    <dxf>
      <numFmt numFmtId="0" formatCode="General"/>
    </dxf>
    <dxf>
      <numFmt numFmtId="3" formatCode="#,##0"/>
    </dxf>
    <dxf>
      <numFmt numFmtId="3" formatCode="#,##0"/>
    </dxf>
    <dxf>
      <numFmt numFmtId="3" formatCode="#,##0"/>
    </dxf>
    <dxf>
      <numFmt numFmtId="3" formatCode="#,##0"/>
    </dxf>
    <dxf>
      <border outline="0">
        <top style="thin">
          <color theme="8"/>
        </top>
      </border>
    </dxf>
    <dxf>
      <font>
        <b/>
        <i val="0"/>
        <strike val="0"/>
        <condense val="0"/>
        <extend val="0"/>
        <outline val="0"/>
        <shadow val="0"/>
        <u val="none"/>
        <vertAlign val="baseline"/>
        <sz val="14"/>
        <color theme="1"/>
        <name val="Calibri"/>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[TCS Project Comprehensive Financial Dashboard in Excel.xlsm]Pivot Tables!PivotTable3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Tables'!$B$2</c:f>
              <c:strCache>
                <c:ptCount val="1"/>
                <c:pt idx="0">
                  <c:v>FY-2024</c:v>
                </c:pt>
              </c:strCache>
            </c:strRef>
          </c:tx>
          <c:spPr>
            <a:solidFill>
              <a:schemeClr val="accent1"/>
            </a:solidFill>
            <a:ln>
              <a:noFill/>
            </a:ln>
            <a:effectLst/>
            <a:sp3d/>
          </c:spPr>
          <c:invertIfNegative val="0"/>
          <c:cat>
            <c:strRef>
              <c:f>'Pivot Tables'!$A$3:$A$7</c:f>
              <c:strCache>
                <c:ptCount val="4"/>
                <c:pt idx="0">
                  <c:v>America</c:v>
                </c:pt>
                <c:pt idx="1">
                  <c:v>Europe</c:v>
                </c:pt>
                <c:pt idx="2">
                  <c:v>India</c:v>
                </c:pt>
                <c:pt idx="3">
                  <c:v>Others</c:v>
                </c:pt>
              </c:strCache>
            </c:strRef>
          </c:cat>
          <c:val>
            <c:numRef>
              <c:f>'Pivot Tables'!$B$3:$B$7</c:f>
              <c:numCache>
                <c:formatCode>General</c:formatCode>
                <c:ptCount val="4"/>
                <c:pt idx="0">
                  <c:v>127939</c:v>
                </c:pt>
                <c:pt idx="1">
                  <c:v>75624</c:v>
                </c:pt>
                <c:pt idx="2">
                  <c:v>13562</c:v>
                </c:pt>
                <c:pt idx="3">
                  <c:v>23768</c:v>
                </c:pt>
              </c:numCache>
            </c:numRef>
          </c:val>
          <c:extLst>
            <c:ext xmlns:c16="http://schemas.microsoft.com/office/drawing/2014/chart" uri="{C3380CC4-5D6E-409C-BE32-E72D297353CC}">
              <c16:uniqueId val="{00000000-58D8-4945-9A03-025E32B1BC81}"/>
            </c:ext>
          </c:extLst>
        </c:ser>
        <c:ser>
          <c:idx val="1"/>
          <c:order val="1"/>
          <c:tx>
            <c:strRef>
              <c:f>'Pivot Tables'!$C$2</c:f>
              <c:strCache>
                <c:ptCount val="1"/>
                <c:pt idx="0">
                  <c:v> FY-2023</c:v>
                </c:pt>
              </c:strCache>
            </c:strRef>
          </c:tx>
          <c:spPr>
            <a:solidFill>
              <a:schemeClr val="accent2"/>
            </a:solidFill>
            <a:ln>
              <a:noFill/>
            </a:ln>
            <a:effectLst/>
            <a:sp3d/>
          </c:spPr>
          <c:invertIfNegative val="0"/>
          <c:cat>
            <c:strRef>
              <c:f>'Pivot Tables'!$A$3:$A$7</c:f>
              <c:strCache>
                <c:ptCount val="4"/>
                <c:pt idx="0">
                  <c:v>America</c:v>
                </c:pt>
                <c:pt idx="1">
                  <c:v>Europe</c:v>
                </c:pt>
                <c:pt idx="2">
                  <c:v>India</c:v>
                </c:pt>
                <c:pt idx="3">
                  <c:v>Others</c:v>
                </c:pt>
              </c:strCache>
            </c:strRef>
          </c:cat>
          <c:val>
            <c:numRef>
              <c:f>'Pivot Tables'!$C$3:$C$7</c:f>
              <c:numCache>
                <c:formatCode>General</c:formatCode>
                <c:ptCount val="4"/>
                <c:pt idx="0">
                  <c:v>124336</c:v>
                </c:pt>
                <c:pt idx="1">
                  <c:v>67436</c:v>
                </c:pt>
                <c:pt idx="2">
                  <c:v>11271</c:v>
                </c:pt>
                <c:pt idx="3">
                  <c:v>22415</c:v>
                </c:pt>
              </c:numCache>
            </c:numRef>
          </c:val>
          <c:extLst>
            <c:ext xmlns:c16="http://schemas.microsoft.com/office/drawing/2014/chart" uri="{C3380CC4-5D6E-409C-BE32-E72D297353CC}">
              <c16:uniqueId val="{00000001-58D8-4945-9A03-025E32B1BC81}"/>
            </c:ext>
          </c:extLst>
        </c:ser>
        <c:ser>
          <c:idx val="2"/>
          <c:order val="2"/>
          <c:tx>
            <c:strRef>
              <c:f>'Pivot Tables'!$D$2</c:f>
              <c:strCache>
                <c:ptCount val="1"/>
                <c:pt idx="0">
                  <c:v>FY-2022</c:v>
                </c:pt>
              </c:strCache>
            </c:strRef>
          </c:tx>
          <c:spPr>
            <a:solidFill>
              <a:schemeClr val="accent3"/>
            </a:solidFill>
            <a:ln>
              <a:noFill/>
            </a:ln>
            <a:effectLst/>
            <a:sp3d/>
          </c:spPr>
          <c:invertIfNegative val="0"/>
          <c:cat>
            <c:strRef>
              <c:f>'Pivot Tables'!$A$3:$A$7</c:f>
              <c:strCache>
                <c:ptCount val="4"/>
                <c:pt idx="0">
                  <c:v>America</c:v>
                </c:pt>
                <c:pt idx="1">
                  <c:v>Europe</c:v>
                </c:pt>
                <c:pt idx="2">
                  <c:v>India</c:v>
                </c:pt>
                <c:pt idx="3">
                  <c:v>Others</c:v>
                </c:pt>
              </c:strCache>
            </c:strRef>
          </c:cat>
          <c:val>
            <c:numRef>
              <c:f>'Pivot Tables'!$D$3:$D$7</c:f>
              <c:numCache>
                <c:formatCode>General</c:formatCode>
                <c:ptCount val="4"/>
                <c:pt idx="0">
                  <c:v>100072</c:v>
                </c:pt>
                <c:pt idx="1">
                  <c:v>61142</c:v>
                </c:pt>
                <c:pt idx="2">
                  <c:v>9805</c:v>
                </c:pt>
                <c:pt idx="3">
                  <c:v>20735</c:v>
                </c:pt>
              </c:numCache>
            </c:numRef>
          </c:val>
          <c:extLst>
            <c:ext xmlns:c16="http://schemas.microsoft.com/office/drawing/2014/chart" uri="{C3380CC4-5D6E-409C-BE32-E72D297353CC}">
              <c16:uniqueId val="{00000002-58D8-4945-9A03-025E32B1BC81}"/>
            </c:ext>
          </c:extLst>
        </c:ser>
        <c:ser>
          <c:idx val="3"/>
          <c:order val="3"/>
          <c:tx>
            <c:strRef>
              <c:f>'Pivot Tables'!$E$2</c:f>
              <c:strCache>
                <c:ptCount val="1"/>
                <c:pt idx="0">
                  <c:v>FY-2021</c:v>
                </c:pt>
              </c:strCache>
            </c:strRef>
          </c:tx>
          <c:spPr>
            <a:solidFill>
              <a:schemeClr val="accent4"/>
            </a:solidFill>
            <a:ln>
              <a:noFill/>
            </a:ln>
            <a:effectLst/>
            <a:sp3d/>
          </c:spPr>
          <c:invertIfNegative val="0"/>
          <c:cat>
            <c:strRef>
              <c:f>'Pivot Tables'!$A$3:$A$7</c:f>
              <c:strCache>
                <c:ptCount val="4"/>
                <c:pt idx="0">
                  <c:v>America</c:v>
                </c:pt>
                <c:pt idx="1">
                  <c:v>Europe</c:v>
                </c:pt>
                <c:pt idx="2">
                  <c:v>India</c:v>
                </c:pt>
                <c:pt idx="3">
                  <c:v>Others</c:v>
                </c:pt>
              </c:strCache>
            </c:strRef>
          </c:cat>
          <c:val>
            <c:numRef>
              <c:f>'Pivot Tables'!$E$3:$E$7</c:f>
              <c:numCache>
                <c:formatCode>General</c:formatCode>
                <c:ptCount val="4"/>
                <c:pt idx="0">
                  <c:v>84278</c:v>
                </c:pt>
                <c:pt idx="1">
                  <c:v>52346</c:v>
                </c:pt>
                <c:pt idx="2">
                  <c:v>8449</c:v>
                </c:pt>
                <c:pt idx="3">
                  <c:v>19104</c:v>
                </c:pt>
              </c:numCache>
            </c:numRef>
          </c:val>
          <c:extLst>
            <c:ext xmlns:c16="http://schemas.microsoft.com/office/drawing/2014/chart" uri="{C3380CC4-5D6E-409C-BE32-E72D297353CC}">
              <c16:uniqueId val="{00000003-58D8-4945-9A03-025E32B1BC81}"/>
            </c:ext>
          </c:extLst>
        </c:ser>
        <c:dLbls>
          <c:showLegendKey val="0"/>
          <c:showVal val="0"/>
          <c:showCatName val="0"/>
          <c:showSerName val="0"/>
          <c:showPercent val="0"/>
          <c:showBubbleSize val="0"/>
        </c:dLbls>
        <c:gapWidth val="150"/>
        <c:shape val="box"/>
        <c:axId val="2023637119"/>
        <c:axId val="1345098575"/>
        <c:axId val="0"/>
      </c:bar3DChart>
      <c:catAx>
        <c:axId val="20236371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098575"/>
        <c:crosses val="autoZero"/>
        <c:auto val="1"/>
        <c:lblAlgn val="ctr"/>
        <c:lblOffset val="100"/>
        <c:noMultiLvlLbl val="0"/>
      </c:catAx>
      <c:valAx>
        <c:axId val="13450985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36371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[TCS Project Comprehensive Financial Dashboard in Excel.xlsm]Pivot Tables!PivotTable6</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Shareholder's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Tables'!$B$9</c:f>
              <c:strCache>
                <c:ptCount val="1"/>
                <c:pt idx="0">
                  <c:v>Total</c:v>
                </c:pt>
              </c:strCache>
            </c:strRef>
          </c:tx>
          <c:spPr>
            <a:solidFill>
              <a:schemeClr val="accent1"/>
            </a:solidFill>
            <a:ln>
              <a:noFill/>
            </a:ln>
            <a:effectLst/>
          </c:spPr>
          <c:invertIfNegative val="0"/>
          <c:cat>
            <c:strRef>
              <c:f>'Pivot Tables'!$A$10:$A$15</c:f>
              <c:strCache>
                <c:ptCount val="5"/>
                <c:pt idx="0">
                  <c:v>Aarthi Subramanian</c:v>
                </c:pt>
                <c:pt idx="1">
                  <c:v>K Krithivasan</c:v>
                </c:pt>
                <c:pt idx="2">
                  <c:v>Keki Mistry*</c:v>
                </c:pt>
                <c:pt idx="3">
                  <c:v>N Chandrasekaran</c:v>
                </c:pt>
                <c:pt idx="4">
                  <c:v>N G Subramaniam</c:v>
                </c:pt>
              </c:strCache>
            </c:strRef>
          </c:cat>
          <c:val>
            <c:numRef>
              <c:f>'Pivot Tables'!$B$10:$B$15</c:f>
              <c:numCache>
                <c:formatCode>General</c:formatCode>
                <c:ptCount val="5"/>
                <c:pt idx="0">
                  <c:v>5600</c:v>
                </c:pt>
                <c:pt idx="1">
                  <c:v>11232</c:v>
                </c:pt>
                <c:pt idx="2">
                  <c:v>4150</c:v>
                </c:pt>
                <c:pt idx="3">
                  <c:v>177056</c:v>
                </c:pt>
                <c:pt idx="4">
                  <c:v>197760</c:v>
                </c:pt>
              </c:numCache>
            </c:numRef>
          </c:val>
          <c:extLst>
            <c:ext xmlns:c16="http://schemas.microsoft.com/office/drawing/2014/chart" uri="{C3380CC4-5D6E-409C-BE32-E72D297353CC}">
              <c16:uniqueId val="{00000000-233D-42E8-A7F9-78C03C3C6EDB}"/>
            </c:ext>
          </c:extLst>
        </c:ser>
        <c:dLbls>
          <c:showLegendKey val="0"/>
          <c:showVal val="0"/>
          <c:showCatName val="0"/>
          <c:showSerName val="0"/>
          <c:showPercent val="0"/>
          <c:showBubbleSize val="0"/>
        </c:dLbls>
        <c:gapWidth val="182"/>
        <c:axId val="2026082239"/>
        <c:axId val="2026080991"/>
      </c:barChart>
      <c:catAx>
        <c:axId val="20260822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080991"/>
        <c:crosses val="autoZero"/>
        <c:auto val="1"/>
        <c:lblAlgn val="ctr"/>
        <c:lblOffset val="100"/>
        <c:noMultiLvlLbl val="0"/>
      </c:catAx>
      <c:valAx>
        <c:axId val="202608099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0822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Share</a:t>
            </a:r>
            <a:r>
              <a:rPr lang="en-US" b="1" baseline="0"/>
              <a:t> Prices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'Share Price'!$B$3</c:f>
              <c:strCache>
                <c:ptCount val="1"/>
                <c:pt idx="0">
                  <c:v>High (Rs.)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'Share Price'!$A$4:$A$15</c:f>
              <c:numCache>
                <c:formatCode>mmm\-yyyy</c:formatCode>
                <c:ptCount val="12"/>
                <c:pt idx="0">
                  <c:v>45017</c:v>
                </c:pt>
                <c:pt idx="1">
                  <c:v>45047</c:v>
                </c:pt>
                <c:pt idx="2">
                  <c:v>45078</c:v>
                </c:pt>
                <c:pt idx="3">
                  <c:v>45108</c:v>
                </c:pt>
                <c:pt idx="4">
                  <c:v>45139</c:v>
                </c:pt>
                <c:pt idx="5">
                  <c:v>45170</c:v>
                </c:pt>
                <c:pt idx="6">
                  <c:v>45200</c:v>
                </c:pt>
                <c:pt idx="7">
                  <c:v>45231</c:v>
                </c:pt>
                <c:pt idx="8">
                  <c:v>45261</c:v>
                </c:pt>
                <c:pt idx="9">
                  <c:v>45292</c:v>
                </c:pt>
                <c:pt idx="10">
                  <c:v>45323</c:v>
                </c:pt>
                <c:pt idx="11">
                  <c:v>45352</c:v>
                </c:pt>
              </c:numCache>
            </c:numRef>
          </c:cat>
          <c:val>
            <c:numRef>
              <c:f>'Share Price'!$B$4:$B$15</c:f>
              <c:numCache>
                <c:formatCode>[$₹-439]#,##0.0</c:formatCode>
                <c:ptCount val="12"/>
                <c:pt idx="0">
                  <c:v>3263.4</c:v>
                </c:pt>
                <c:pt idx="1">
                  <c:v>3328.9</c:v>
                </c:pt>
                <c:pt idx="2">
                  <c:v>3324</c:v>
                </c:pt>
                <c:pt idx="3">
                  <c:v>3514.7</c:v>
                </c:pt>
                <c:pt idx="4">
                  <c:v>3484.1</c:v>
                </c:pt>
                <c:pt idx="5">
                  <c:v>3606.2</c:v>
                </c:pt>
                <c:pt idx="6">
                  <c:v>3638.4</c:v>
                </c:pt>
                <c:pt idx="7">
                  <c:v>3530.2</c:v>
                </c:pt>
                <c:pt idx="8">
                  <c:v>3861</c:v>
                </c:pt>
                <c:pt idx="9">
                  <c:v>3943.1</c:v>
                </c:pt>
                <c:pt idx="10">
                  <c:v>4149.5</c:v>
                </c:pt>
                <c:pt idx="11">
                  <c:v>4219.3</c:v>
                </c:pt>
              </c:numCache>
            </c:numRef>
          </c:val>
          <c:smooth val="0"/>
          <c:extLst>
            <c:ext xmlns:c16="http://schemas.microsoft.com/office/drawing/2014/chart" uri="{C3380CC4-5D6E-409C-BE32-E72D297353CC}">
              <c16:uniqueId val="{00000000-79A2-4726-A5A4-94BED4F8998B}"/>
            </c:ext>
          </c:extLst>
        </c:ser>
        <c:ser>
          <c:idx val="1"/>
          <c:order val="1"/>
          <c:tx>
            <c:strRef>
              <c:f>'Share Price'!$C$3</c:f>
              <c:strCache>
                <c:ptCount val="1"/>
                <c:pt idx="0">
                  <c:v>Low (Rs.)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'Share Price'!$A$4:$A$15</c:f>
              <c:numCache>
                <c:formatCode>mmm\-yyyy</c:formatCode>
                <c:ptCount val="12"/>
                <c:pt idx="0">
                  <c:v>45017</c:v>
                </c:pt>
                <c:pt idx="1">
                  <c:v>45047</c:v>
                </c:pt>
                <c:pt idx="2">
                  <c:v>45078</c:v>
                </c:pt>
                <c:pt idx="3">
                  <c:v>45108</c:v>
                </c:pt>
                <c:pt idx="4">
                  <c:v>45139</c:v>
                </c:pt>
                <c:pt idx="5">
                  <c:v>45170</c:v>
                </c:pt>
                <c:pt idx="6">
                  <c:v>45200</c:v>
                </c:pt>
                <c:pt idx="7">
                  <c:v>45231</c:v>
                </c:pt>
                <c:pt idx="8">
                  <c:v>45261</c:v>
                </c:pt>
                <c:pt idx="9">
                  <c:v>45292</c:v>
                </c:pt>
                <c:pt idx="10">
                  <c:v>45323</c:v>
                </c:pt>
                <c:pt idx="11">
                  <c:v>45352</c:v>
                </c:pt>
              </c:numCache>
            </c:numRef>
          </c:cat>
          <c:val>
            <c:numRef>
              <c:f>'Share Price'!$C$4:$C$15</c:f>
              <c:numCache>
                <c:formatCode>[$₹-439]#,##0.0</c:formatCode>
                <c:ptCount val="12"/>
                <c:pt idx="0">
                  <c:v>3089.6</c:v>
                </c:pt>
                <c:pt idx="1">
                  <c:v>3179.9</c:v>
                </c:pt>
                <c:pt idx="2">
                  <c:v>3174.9</c:v>
                </c:pt>
                <c:pt idx="3">
                  <c:v>3259.9</c:v>
                </c:pt>
                <c:pt idx="4">
                  <c:v>3356.8</c:v>
                </c:pt>
                <c:pt idx="5">
                  <c:v>3379.2</c:v>
                </c:pt>
                <c:pt idx="6">
                  <c:v>3336.8</c:v>
                </c:pt>
                <c:pt idx="7">
                  <c:v>3330.7</c:v>
                </c:pt>
                <c:pt idx="8">
                  <c:v>3511.7</c:v>
                </c:pt>
                <c:pt idx="9">
                  <c:v>3666.8</c:v>
                </c:pt>
                <c:pt idx="10">
                  <c:v>3854.2</c:v>
                </c:pt>
                <c:pt idx="11">
                  <c:v>3840.9</c:v>
                </c:pt>
              </c:numCache>
            </c:numRef>
          </c:val>
          <c:smooth val="0"/>
          <c:extLst>
            <c:ext xmlns:c16="http://schemas.microsoft.com/office/drawing/2014/chart" uri="{C3380CC4-5D6E-409C-BE32-E72D297353CC}">
              <c16:uniqueId val="{00000001-79A2-4726-A5A4-94BED4F8998B}"/>
            </c:ext>
          </c:extLst>
        </c:ser>
        <c:dLbls>
          <c:showLegendKey val="0"/>
          <c:showVal val="0"/>
          <c:showCatName val="0"/>
          <c:showSerName val="0"/>
          <c:showPercent val="0"/>
          <c:showBubbleSize val="0"/>
        </c:dLbls>
        <c:marker val="1"/>
        <c:smooth val="0"/>
        <c:axId val="2138616896"/>
        <c:axId val="2138617728"/>
      </c:lineChart>
      <c:dateAx>
        <c:axId val="2138616896"/>
        <c:scaling>
          <c:orientation val="minMax"/>
        </c:scaling>
        <c:delete val="0"/>
        <c:axPos val="b"/>
        <c:numFmt formatCode="mmm\-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8617728"/>
        <c:crosses val="autoZero"/>
        <c:auto val="1"/>
        <c:lblOffset val="100"/>
        <c:baseTimeUnit val="months"/>
      </c:dateAx>
      <c:valAx>
        <c:axId val="2138617728"/>
        <c:scaling>
          <c:orientation val="minMax"/>
        </c:scaling>
        <c:delete val="0"/>
        <c:axPos val="l"/>
        <c:majorGridlines>
          <c:spPr>
            <a:ln w="9525" cap="flat" cmpd="sng" algn="ctr">
              <a:solidFill>
                <a:schemeClr val="tx1">
                  <a:lumMod val="15000"/>
                  <a:lumOff val="85000"/>
                </a:schemeClr>
              </a:solidFill>
              <a:round/>
            </a:ln>
            <a:effectLst/>
          </c:spPr>
        </c:majorGridlines>
        <c:numFmt formatCode="[$₹-439]#,##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8616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Category wise Equity Shareholding</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s>
    <c:plotArea>
      <c:layout/>
      <c:pie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F28-4398-8AE0-092ED84679D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F28-4398-8AE0-092ED84679D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F28-4398-8AE0-092ED84679D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F28-4398-8AE0-092ED84679D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F28-4398-8AE0-092ED84679D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CF28-4398-8AE0-092ED84679D2}"/>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CF28-4398-8AE0-092ED84679D2}"/>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CF28-4398-8AE0-092ED84679D2}"/>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CF28-4398-8AE0-092ED84679D2}"/>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CF28-4398-8AE0-092ED84679D2}"/>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CF28-4398-8AE0-092ED84679D2}"/>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CF28-4398-8AE0-092ED84679D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3"/>
              <c:pt idx="0">
                <c:v>Indian Public and Others</c:v>
              </c:pt>
              <c:pt idx="1">
                <c:v>Insurance Companies</c:v>
              </c:pt>
              <c:pt idx="2">
                <c:v>Mutual Funds</c:v>
              </c:pt>
            </c:strLit>
          </c:cat>
          <c:val>
            <c:numLit>
              <c:formatCode>General</c:formatCode>
              <c:ptCount val="3"/>
              <c:pt idx="0">
                <c:v>158711398</c:v>
              </c:pt>
              <c:pt idx="1">
                <c:v>216281096</c:v>
              </c:pt>
              <c:pt idx="2">
                <c:v>146591425</c:v>
              </c:pt>
            </c:numLit>
          </c:val>
          <c:extLst>
            <c:ext xmlns:c16="http://schemas.microsoft.com/office/drawing/2014/chart" uri="{C3380CC4-5D6E-409C-BE32-E72D297353CC}">
              <c16:uniqueId val="{00000018-CF28-4398-8AE0-092ED84679D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b="1"/>
              <a:t>Candlestick Chart</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stockChart>
        <c:ser>
          <c:idx val="0"/>
          <c:order val="0"/>
          <c:tx>
            <c:strRef>
              <c:f>'VLOOKUP Function'!$B$1</c:f>
              <c:strCache>
                <c:ptCount val="1"/>
                <c:pt idx="0">
                  <c:v>Open</c:v>
                </c:pt>
              </c:strCache>
            </c:strRef>
          </c:tx>
          <c:spPr>
            <a:ln w="25400" cap="rnd">
              <a:noFill/>
              <a:round/>
            </a:ln>
            <a:effectLst/>
          </c:spPr>
          <c:marker>
            <c:symbol val="none"/>
          </c:marker>
          <c:cat>
            <c:numRef>
              <c:f>'VLOOKUP Function'!$A$2:$A$20</c:f>
              <c:numCache>
                <c:formatCode>d\-mmm\-yy</c:formatCode>
                <c:ptCount val="19"/>
                <c:pt idx="0">
                  <c:v>45352</c:v>
                </c:pt>
                <c:pt idx="1">
                  <c:v>45353</c:v>
                </c:pt>
                <c:pt idx="2">
                  <c:v>45355</c:v>
                </c:pt>
                <c:pt idx="3">
                  <c:v>45356</c:v>
                </c:pt>
                <c:pt idx="4">
                  <c:v>45357</c:v>
                </c:pt>
                <c:pt idx="5">
                  <c:v>45358</c:v>
                </c:pt>
                <c:pt idx="6">
                  <c:v>45362</c:v>
                </c:pt>
                <c:pt idx="7">
                  <c:v>45363</c:v>
                </c:pt>
                <c:pt idx="8">
                  <c:v>45364</c:v>
                </c:pt>
                <c:pt idx="9">
                  <c:v>45365</c:v>
                </c:pt>
                <c:pt idx="10">
                  <c:v>45366</c:v>
                </c:pt>
                <c:pt idx="11">
                  <c:v>45369</c:v>
                </c:pt>
                <c:pt idx="12">
                  <c:v>45370</c:v>
                </c:pt>
                <c:pt idx="13">
                  <c:v>45371</c:v>
                </c:pt>
                <c:pt idx="14">
                  <c:v>45372</c:v>
                </c:pt>
                <c:pt idx="15">
                  <c:v>45373</c:v>
                </c:pt>
                <c:pt idx="16">
                  <c:v>45377</c:v>
                </c:pt>
                <c:pt idx="17">
                  <c:v>45378</c:v>
                </c:pt>
                <c:pt idx="18">
                  <c:v>45379</c:v>
                </c:pt>
              </c:numCache>
            </c:numRef>
          </c:cat>
          <c:val>
            <c:numRef>
              <c:f>'VLOOKUP Function'!$B$2:$B$20</c:f>
              <c:numCache>
                <c:formatCode>#,##0.0</c:formatCode>
                <c:ptCount val="19"/>
                <c:pt idx="0">
                  <c:v>4107.2</c:v>
                </c:pt>
                <c:pt idx="1">
                  <c:v>4112.7</c:v>
                </c:pt>
                <c:pt idx="2">
                  <c:v>4105</c:v>
                </c:pt>
                <c:pt idx="3">
                  <c:v>4062</c:v>
                </c:pt>
                <c:pt idx="4">
                  <c:v>3994.05</c:v>
                </c:pt>
                <c:pt idx="5">
                  <c:v>4065</c:v>
                </c:pt>
                <c:pt idx="6">
                  <c:v>4089</c:v>
                </c:pt>
                <c:pt idx="7">
                  <c:v>4122.3500000000004</c:v>
                </c:pt>
                <c:pt idx="8">
                  <c:v>4205</c:v>
                </c:pt>
                <c:pt idx="9">
                  <c:v>4153.45</c:v>
                </c:pt>
                <c:pt idx="10">
                  <c:v>4192.6000000000004</c:v>
                </c:pt>
                <c:pt idx="11">
                  <c:v>4215.25</c:v>
                </c:pt>
                <c:pt idx="12">
                  <c:v>4051.25</c:v>
                </c:pt>
                <c:pt idx="13">
                  <c:v>3986</c:v>
                </c:pt>
                <c:pt idx="14">
                  <c:v>3990.05</c:v>
                </c:pt>
                <c:pt idx="15">
                  <c:v>3897</c:v>
                </c:pt>
                <c:pt idx="16">
                  <c:v>3875</c:v>
                </c:pt>
                <c:pt idx="17">
                  <c:v>3888.5</c:v>
                </c:pt>
                <c:pt idx="18">
                  <c:v>3850.1</c:v>
                </c:pt>
              </c:numCache>
            </c:numRef>
          </c:val>
          <c:smooth val="0"/>
          <c:extLst>
            <c:ext xmlns:c16="http://schemas.microsoft.com/office/drawing/2014/chart" uri="{C3380CC4-5D6E-409C-BE32-E72D297353CC}">
              <c16:uniqueId val="{00000000-7D4A-47E2-B41A-DEE5111D4A90}"/>
            </c:ext>
          </c:extLst>
        </c:ser>
        <c:ser>
          <c:idx val="1"/>
          <c:order val="1"/>
          <c:tx>
            <c:strRef>
              <c:f>'VLOOKUP Function'!$C$1</c:f>
              <c:strCache>
                <c:ptCount val="1"/>
                <c:pt idx="0">
                  <c:v>High</c:v>
                </c:pt>
              </c:strCache>
            </c:strRef>
          </c:tx>
          <c:spPr>
            <a:ln w="25400" cap="rnd">
              <a:noFill/>
              <a:round/>
            </a:ln>
            <a:effectLst/>
          </c:spPr>
          <c:marker>
            <c:symbol val="none"/>
          </c:marker>
          <c:cat>
            <c:numRef>
              <c:f>'VLOOKUP Function'!$A$2:$A$20</c:f>
              <c:numCache>
                <c:formatCode>d\-mmm\-yy</c:formatCode>
                <c:ptCount val="19"/>
                <c:pt idx="0">
                  <c:v>45352</c:v>
                </c:pt>
                <c:pt idx="1">
                  <c:v>45353</c:v>
                </c:pt>
                <c:pt idx="2">
                  <c:v>45355</c:v>
                </c:pt>
                <c:pt idx="3">
                  <c:v>45356</c:v>
                </c:pt>
                <c:pt idx="4">
                  <c:v>45357</c:v>
                </c:pt>
                <c:pt idx="5">
                  <c:v>45358</c:v>
                </c:pt>
                <c:pt idx="6">
                  <c:v>45362</c:v>
                </c:pt>
                <c:pt idx="7">
                  <c:v>45363</c:v>
                </c:pt>
                <c:pt idx="8">
                  <c:v>45364</c:v>
                </c:pt>
                <c:pt idx="9">
                  <c:v>45365</c:v>
                </c:pt>
                <c:pt idx="10">
                  <c:v>45366</c:v>
                </c:pt>
                <c:pt idx="11">
                  <c:v>45369</c:v>
                </c:pt>
                <c:pt idx="12">
                  <c:v>45370</c:v>
                </c:pt>
                <c:pt idx="13">
                  <c:v>45371</c:v>
                </c:pt>
                <c:pt idx="14">
                  <c:v>45372</c:v>
                </c:pt>
                <c:pt idx="15">
                  <c:v>45373</c:v>
                </c:pt>
                <c:pt idx="16">
                  <c:v>45377</c:v>
                </c:pt>
                <c:pt idx="17">
                  <c:v>45378</c:v>
                </c:pt>
                <c:pt idx="18">
                  <c:v>45379</c:v>
                </c:pt>
              </c:numCache>
            </c:numRef>
          </c:cat>
          <c:val>
            <c:numRef>
              <c:f>'VLOOKUP Function'!$C$2:$C$20</c:f>
              <c:numCache>
                <c:formatCode>#,##0.00</c:formatCode>
                <c:ptCount val="19"/>
                <c:pt idx="0">
                  <c:v>4140</c:v>
                </c:pt>
                <c:pt idx="1">
                  <c:v>4129.5</c:v>
                </c:pt>
                <c:pt idx="2">
                  <c:v>4117.8999999999996</c:v>
                </c:pt>
                <c:pt idx="3">
                  <c:v>4064</c:v>
                </c:pt>
                <c:pt idx="4">
                  <c:v>4072</c:v>
                </c:pt>
                <c:pt idx="5">
                  <c:v>4124</c:v>
                </c:pt>
                <c:pt idx="6">
                  <c:v>4153</c:v>
                </c:pt>
                <c:pt idx="7">
                  <c:v>4229.95</c:v>
                </c:pt>
                <c:pt idx="8">
                  <c:v>4241</c:v>
                </c:pt>
                <c:pt idx="9">
                  <c:v>4225</c:v>
                </c:pt>
                <c:pt idx="10">
                  <c:v>4239</c:v>
                </c:pt>
                <c:pt idx="11">
                  <c:v>4254.75</c:v>
                </c:pt>
                <c:pt idx="12">
                  <c:v>4058</c:v>
                </c:pt>
                <c:pt idx="13">
                  <c:v>4018</c:v>
                </c:pt>
                <c:pt idx="14">
                  <c:v>4008.4</c:v>
                </c:pt>
                <c:pt idx="15">
                  <c:v>3938</c:v>
                </c:pt>
                <c:pt idx="16">
                  <c:v>3946.7</c:v>
                </c:pt>
                <c:pt idx="17">
                  <c:v>3895</c:v>
                </c:pt>
                <c:pt idx="18">
                  <c:v>3915</c:v>
                </c:pt>
              </c:numCache>
            </c:numRef>
          </c:val>
          <c:smooth val="0"/>
          <c:extLst>
            <c:ext xmlns:c16="http://schemas.microsoft.com/office/drawing/2014/chart" uri="{C3380CC4-5D6E-409C-BE32-E72D297353CC}">
              <c16:uniqueId val="{00000001-7D4A-47E2-B41A-DEE5111D4A90}"/>
            </c:ext>
          </c:extLst>
        </c:ser>
        <c:ser>
          <c:idx val="2"/>
          <c:order val="2"/>
          <c:tx>
            <c:strRef>
              <c:f>'VLOOKUP Function'!$D$1</c:f>
              <c:strCache>
                <c:ptCount val="1"/>
                <c:pt idx="0">
                  <c:v>Low</c:v>
                </c:pt>
              </c:strCache>
            </c:strRef>
          </c:tx>
          <c:spPr>
            <a:ln w="25400" cap="rnd">
              <a:noFill/>
              <a:round/>
            </a:ln>
            <a:effectLst/>
          </c:spPr>
          <c:marker>
            <c:symbol val="none"/>
          </c:marker>
          <c:cat>
            <c:numRef>
              <c:f>'VLOOKUP Function'!$A$2:$A$20</c:f>
              <c:numCache>
                <c:formatCode>d\-mmm\-yy</c:formatCode>
                <c:ptCount val="19"/>
                <c:pt idx="0">
                  <c:v>45352</c:v>
                </c:pt>
                <c:pt idx="1">
                  <c:v>45353</c:v>
                </c:pt>
                <c:pt idx="2">
                  <c:v>45355</c:v>
                </c:pt>
                <c:pt idx="3">
                  <c:v>45356</c:v>
                </c:pt>
                <c:pt idx="4">
                  <c:v>45357</c:v>
                </c:pt>
                <c:pt idx="5">
                  <c:v>45358</c:v>
                </c:pt>
                <c:pt idx="6">
                  <c:v>45362</c:v>
                </c:pt>
                <c:pt idx="7">
                  <c:v>45363</c:v>
                </c:pt>
                <c:pt idx="8">
                  <c:v>45364</c:v>
                </c:pt>
                <c:pt idx="9">
                  <c:v>45365</c:v>
                </c:pt>
                <c:pt idx="10">
                  <c:v>45366</c:v>
                </c:pt>
                <c:pt idx="11">
                  <c:v>45369</c:v>
                </c:pt>
                <c:pt idx="12">
                  <c:v>45370</c:v>
                </c:pt>
                <c:pt idx="13">
                  <c:v>45371</c:v>
                </c:pt>
                <c:pt idx="14">
                  <c:v>45372</c:v>
                </c:pt>
                <c:pt idx="15">
                  <c:v>45373</c:v>
                </c:pt>
                <c:pt idx="16">
                  <c:v>45377</c:v>
                </c:pt>
                <c:pt idx="17">
                  <c:v>45378</c:v>
                </c:pt>
                <c:pt idx="18">
                  <c:v>45379</c:v>
                </c:pt>
              </c:numCache>
            </c:numRef>
          </c:cat>
          <c:val>
            <c:numRef>
              <c:f>'VLOOKUP Function'!$D$2:$D$20</c:f>
              <c:numCache>
                <c:formatCode>#,##0.00</c:formatCode>
                <c:ptCount val="19"/>
                <c:pt idx="0">
                  <c:v>4086.8</c:v>
                </c:pt>
                <c:pt idx="1">
                  <c:v>4090.15</c:v>
                </c:pt>
                <c:pt idx="2">
                  <c:v>4075.9</c:v>
                </c:pt>
                <c:pt idx="3">
                  <c:v>3980</c:v>
                </c:pt>
                <c:pt idx="4">
                  <c:v>3958.45</c:v>
                </c:pt>
                <c:pt idx="5">
                  <c:v>4037.7</c:v>
                </c:pt>
                <c:pt idx="6">
                  <c:v>4089</c:v>
                </c:pt>
                <c:pt idx="7">
                  <c:v>4121.05</c:v>
                </c:pt>
                <c:pt idx="8">
                  <c:v>4131.8999999999996</c:v>
                </c:pt>
                <c:pt idx="9">
                  <c:v>4086</c:v>
                </c:pt>
                <c:pt idx="10">
                  <c:v>4177</c:v>
                </c:pt>
                <c:pt idx="11">
                  <c:v>4117.8500000000004</c:v>
                </c:pt>
                <c:pt idx="12">
                  <c:v>3966.6</c:v>
                </c:pt>
                <c:pt idx="13">
                  <c:v>3960.2</c:v>
                </c:pt>
                <c:pt idx="14">
                  <c:v>3948</c:v>
                </c:pt>
                <c:pt idx="15">
                  <c:v>3855</c:v>
                </c:pt>
                <c:pt idx="16">
                  <c:v>3871.45</c:v>
                </c:pt>
                <c:pt idx="17">
                  <c:v>3829.4</c:v>
                </c:pt>
                <c:pt idx="18">
                  <c:v>3840.5</c:v>
                </c:pt>
              </c:numCache>
            </c:numRef>
          </c:val>
          <c:smooth val="0"/>
          <c:extLst>
            <c:ext xmlns:c16="http://schemas.microsoft.com/office/drawing/2014/chart" uri="{C3380CC4-5D6E-409C-BE32-E72D297353CC}">
              <c16:uniqueId val="{00000002-7D4A-47E2-B41A-DEE5111D4A90}"/>
            </c:ext>
          </c:extLst>
        </c:ser>
        <c:ser>
          <c:idx val="3"/>
          <c:order val="3"/>
          <c:tx>
            <c:strRef>
              <c:f>'VLOOKUP Function'!$E$1</c:f>
              <c:strCache>
                <c:ptCount val="1"/>
                <c:pt idx="0">
                  <c:v>Close</c:v>
                </c:pt>
              </c:strCache>
            </c:strRef>
          </c:tx>
          <c:spPr>
            <a:ln w="25400" cap="rnd">
              <a:noFill/>
              <a:round/>
            </a:ln>
            <a:effectLst/>
          </c:spPr>
          <c:marker>
            <c:symbol val="none"/>
          </c:marker>
          <c:cat>
            <c:numRef>
              <c:f>'VLOOKUP Function'!$A$2:$A$20</c:f>
              <c:numCache>
                <c:formatCode>d\-mmm\-yy</c:formatCode>
                <c:ptCount val="19"/>
                <c:pt idx="0">
                  <c:v>45352</c:v>
                </c:pt>
                <c:pt idx="1">
                  <c:v>45353</c:v>
                </c:pt>
                <c:pt idx="2">
                  <c:v>45355</c:v>
                </c:pt>
                <c:pt idx="3">
                  <c:v>45356</c:v>
                </c:pt>
                <c:pt idx="4">
                  <c:v>45357</c:v>
                </c:pt>
                <c:pt idx="5">
                  <c:v>45358</c:v>
                </c:pt>
                <c:pt idx="6">
                  <c:v>45362</c:v>
                </c:pt>
                <c:pt idx="7">
                  <c:v>45363</c:v>
                </c:pt>
                <c:pt idx="8">
                  <c:v>45364</c:v>
                </c:pt>
                <c:pt idx="9">
                  <c:v>45365</c:v>
                </c:pt>
                <c:pt idx="10">
                  <c:v>45366</c:v>
                </c:pt>
                <c:pt idx="11">
                  <c:v>45369</c:v>
                </c:pt>
                <c:pt idx="12">
                  <c:v>45370</c:v>
                </c:pt>
                <c:pt idx="13">
                  <c:v>45371</c:v>
                </c:pt>
                <c:pt idx="14">
                  <c:v>45372</c:v>
                </c:pt>
                <c:pt idx="15">
                  <c:v>45373</c:v>
                </c:pt>
                <c:pt idx="16">
                  <c:v>45377</c:v>
                </c:pt>
                <c:pt idx="17">
                  <c:v>45378</c:v>
                </c:pt>
                <c:pt idx="18">
                  <c:v>45379</c:v>
                </c:pt>
              </c:numCache>
            </c:numRef>
          </c:cat>
          <c:val>
            <c:numRef>
              <c:f>'VLOOKUP Function'!$E$2:$E$20</c:f>
              <c:numCache>
                <c:formatCode>#,##0.00</c:formatCode>
                <c:ptCount val="19"/>
                <c:pt idx="0">
                  <c:v>4094.35</c:v>
                </c:pt>
                <c:pt idx="1">
                  <c:v>4107.1000000000004</c:v>
                </c:pt>
                <c:pt idx="2">
                  <c:v>4080.7</c:v>
                </c:pt>
                <c:pt idx="3">
                  <c:v>4012.1</c:v>
                </c:pt>
                <c:pt idx="4">
                  <c:v>4064.3</c:v>
                </c:pt>
                <c:pt idx="5">
                  <c:v>4108.6000000000004</c:v>
                </c:pt>
                <c:pt idx="6">
                  <c:v>4122.3500000000004</c:v>
                </c:pt>
                <c:pt idx="7">
                  <c:v>4192.25</c:v>
                </c:pt>
                <c:pt idx="8">
                  <c:v>4149</c:v>
                </c:pt>
                <c:pt idx="9">
                  <c:v>4207.6000000000004</c:v>
                </c:pt>
                <c:pt idx="10">
                  <c:v>4219.25</c:v>
                </c:pt>
                <c:pt idx="11">
                  <c:v>4152.5</c:v>
                </c:pt>
                <c:pt idx="12">
                  <c:v>3977.3</c:v>
                </c:pt>
                <c:pt idx="13">
                  <c:v>3970.9</c:v>
                </c:pt>
                <c:pt idx="14">
                  <c:v>3972.95</c:v>
                </c:pt>
                <c:pt idx="15">
                  <c:v>3910.9</c:v>
                </c:pt>
                <c:pt idx="16">
                  <c:v>3877.5</c:v>
                </c:pt>
                <c:pt idx="17">
                  <c:v>3840.9</c:v>
                </c:pt>
                <c:pt idx="18">
                  <c:v>3876.3</c:v>
                </c:pt>
              </c:numCache>
            </c:numRef>
          </c:val>
          <c:smooth val="0"/>
          <c:extLst>
            <c:ext xmlns:c16="http://schemas.microsoft.com/office/drawing/2014/chart" uri="{C3380CC4-5D6E-409C-BE32-E72D297353CC}">
              <c16:uniqueId val="{00000003-7D4A-47E2-B41A-DEE5111D4A90}"/>
            </c:ext>
          </c:extLst>
        </c:ser>
        <c:dLbls>
          <c:showLegendKey val="0"/>
          <c:showVal val="0"/>
          <c:showCatName val="0"/>
          <c:showSerName val="0"/>
          <c:showPercent val="0"/>
          <c:showBubbleSize val="0"/>
        </c:dLbls>
        <c:hiLowLines>
          <c:spPr>
            <a:ln w="15875" cap="flat" cmpd="sng" algn="ctr">
              <a:solidFill>
                <a:schemeClr val="tx1">
                  <a:lumMod val="65000"/>
                  <a:lumOff val="35000"/>
                </a:schemeClr>
              </a:solidFill>
              <a:round/>
            </a:ln>
            <a:effectLst/>
          </c:spPr>
        </c:hiLowLines>
        <c:upDownBars>
          <c:gapWidth val="150"/>
          <c:upBars>
            <c:spPr>
              <a:solidFill>
                <a:schemeClr val="lt1"/>
              </a:solidFill>
              <a:ln w="9525">
                <a:solidFill>
                  <a:schemeClr val="tx1">
                    <a:lumMod val="50000"/>
                    <a:lumOff val="50000"/>
                  </a:schemeClr>
                </a:solidFill>
              </a:ln>
              <a:effectLst/>
            </c:spPr>
          </c:upBars>
          <c:downBars>
            <c:spPr>
              <a:solidFill>
                <a:schemeClr val="dk1">
                  <a:lumMod val="65000"/>
                  <a:lumOff val="35000"/>
                </a:schemeClr>
              </a:solidFill>
              <a:ln w="9525" cap="flat" cmpd="sng" algn="ctr">
                <a:solidFill>
                  <a:schemeClr val="tx1">
                    <a:lumMod val="65000"/>
                    <a:lumOff val="35000"/>
                  </a:schemeClr>
                </a:solidFill>
                <a:round/>
              </a:ln>
              <a:effectLst/>
            </c:spPr>
          </c:downBars>
        </c:upDownBars>
        <c:axId val="152151168"/>
        <c:axId val="152152832"/>
      </c:stockChart>
      <c:dateAx>
        <c:axId val="152151168"/>
        <c:scaling>
          <c:orientation val="minMax"/>
        </c:scaling>
        <c:delete val="0"/>
        <c:axPos val="b"/>
        <c:numFmt formatCode="d\-mmm\-yy" sourceLinked="1"/>
        <c:majorTickMark val="out"/>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52832"/>
        <c:crosses val="autoZero"/>
        <c:auto val="1"/>
        <c:lblOffset val="100"/>
        <c:baseTimeUnit val="days"/>
      </c:dateAx>
      <c:valAx>
        <c:axId val="152152832"/>
        <c:scaling>
          <c:orientation val="minMax"/>
        </c:scaling>
        <c:delete val="0"/>
        <c:axPos val="l"/>
        <c:majorGridlines>
          <c:spPr>
            <a:ln>
              <a:solidFill>
                <a:schemeClr val="tx1">
                  <a:lumMod val="15000"/>
                  <a:lumOff val="85000"/>
                </a:schemeClr>
              </a:solidFill>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51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40004</xdr:colOff>
      <xdr:row>0</xdr:row>
      <xdr:rowOff>74295</xdr:rowOff>
    </xdr:from>
    <xdr:to>
      <xdr:col>7</xdr:col>
      <xdr:colOff>304799</xdr:colOff>
      <xdr:row>10</xdr:row>
      <xdr:rowOff>180975</xdr:rowOff>
    </xdr:to>
    <xdr:graphicFrame macro="">
      <xdr:nvGraphicFramePr>
        <xdr:cNvPr id="13" name="Chart 12">
          <a:extLst>
            <a:ext uri="{FF2B5EF4-FFF2-40B4-BE49-F238E27FC236}">
              <a16:creationId xmlns:a16="http://schemas.microsoft.com/office/drawing/2014/main" id="{AB72D72C-2A3B-434C-AE73-CDBAAB6307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95250</xdr:colOff>
      <xdr:row>0</xdr:row>
      <xdr:rowOff>95250</xdr:rowOff>
    </xdr:from>
    <xdr:to>
      <xdr:col>2</xdr:col>
      <xdr:colOff>0</xdr:colOff>
      <xdr:row>11</xdr:row>
      <xdr:rowOff>0</xdr:rowOff>
    </xdr:to>
    <mc:AlternateContent xmlns:mc="http://schemas.openxmlformats.org/markup-compatibility/2006" xmlns:a14="http://schemas.microsoft.com/office/drawing/2010/main">
      <mc:Choice Requires="a14">
        <xdr:graphicFrame macro="">
          <xdr:nvGraphicFramePr>
            <xdr:cNvPr id="14" name="Revenue by Geographic Segments">
              <a:extLst>
                <a:ext uri="{FF2B5EF4-FFF2-40B4-BE49-F238E27FC236}">
                  <a16:creationId xmlns:a16="http://schemas.microsoft.com/office/drawing/2014/main" id="{0964BFCF-E6EA-4D68-932F-ED8AE6F6ADA7}"/>
                </a:ext>
              </a:extLst>
            </xdr:cNvPr>
            <xdr:cNvGraphicFramePr/>
          </xdr:nvGraphicFramePr>
          <xdr:xfrm>
            <a:off x="0" y="0"/>
            <a:ext cx="0" cy="0"/>
          </xdr:xfrm>
          <a:graphic>
            <a:graphicData uri="http://schemas.microsoft.com/office/drawing/2010/slicer">
              <sle:slicer xmlns:sle="http://schemas.microsoft.com/office/drawing/2010/slicer" name="Revenue by Geographic Segments"/>
            </a:graphicData>
          </a:graphic>
        </xdr:graphicFrame>
      </mc:Choice>
      <mc:Fallback xmlns="">
        <xdr:sp macro="" textlink="">
          <xdr:nvSpPr>
            <xdr:cNvPr id="0" name=""/>
            <xdr:cNvSpPr>
              <a:spLocks noTextEdit="1"/>
            </xdr:cNvSpPr>
          </xdr:nvSpPr>
          <xdr:spPr>
            <a:xfrm>
              <a:off x="95250" y="95250"/>
              <a:ext cx="112395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95250</xdr:colOff>
      <xdr:row>11</xdr:row>
      <xdr:rowOff>83820</xdr:rowOff>
    </xdr:from>
    <xdr:to>
      <xdr:col>7</xdr:col>
      <xdr:colOff>304800</xdr:colOff>
      <xdr:row>22</xdr:row>
      <xdr:rowOff>0</xdr:rowOff>
    </xdr:to>
    <xdr:graphicFrame macro="">
      <xdr:nvGraphicFramePr>
        <xdr:cNvPr id="15" name="Chart 14">
          <a:extLst>
            <a:ext uri="{FF2B5EF4-FFF2-40B4-BE49-F238E27FC236}">
              <a16:creationId xmlns:a16="http://schemas.microsoft.com/office/drawing/2014/main" id="{CBC98B3E-856F-46D9-98AB-C241341E73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438150</xdr:colOff>
      <xdr:row>11</xdr:row>
      <xdr:rowOff>83819</xdr:rowOff>
    </xdr:from>
    <xdr:to>
      <xdr:col>15</xdr:col>
      <xdr:colOff>219075</xdr:colOff>
      <xdr:row>22</xdr:row>
      <xdr:rowOff>28574</xdr:rowOff>
    </xdr:to>
    <xdr:graphicFrame macro="">
      <xdr:nvGraphicFramePr>
        <xdr:cNvPr id="9" name="Chart 8">
          <a:extLst>
            <a:ext uri="{FF2B5EF4-FFF2-40B4-BE49-F238E27FC236}">
              <a16:creationId xmlns:a16="http://schemas.microsoft.com/office/drawing/2014/main" id="{33BEE910-C61D-4AEE-91D7-781B610B80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428625</xdr:colOff>
      <xdr:row>0</xdr:row>
      <xdr:rowOff>112395</xdr:rowOff>
    </xdr:from>
    <xdr:to>
      <xdr:col>12</xdr:col>
      <xdr:colOff>114300</xdr:colOff>
      <xdr:row>11</xdr:row>
      <xdr:rowOff>28575</xdr:rowOff>
    </xdr:to>
    <xdr:graphicFrame macro="">
      <xdr:nvGraphicFramePr>
        <xdr:cNvPr id="10" name="Chart 9">
          <a:extLst>
            <a:ext uri="{FF2B5EF4-FFF2-40B4-BE49-F238E27FC236}">
              <a16:creationId xmlns:a16="http://schemas.microsoft.com/office/drawing/2014/main" id="{994F7F88-FDBC-4E51-AEF2-E8AC6F6D17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219075</xdr:colOff>
      <xdr:row>0</xdr:row>
      <xdr:rowOff>76200</xdr:rowOff>
    </xdr:from>
    <xdr:to>
      <xdr:col>15</xdr:col>
      <xdr:colOff>219075</xdr:colOff>
      <xdr:row>10</xdr:row>
      <xdr:rowOff>180975</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80FC35D6-C186-40B0-942C-EB84B93FFB0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800975" y="76200"/>
              <a:ext cx="1828800" cy="2009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257176</xdr:colOff>
      <xdr:row>0</xdr:row>
      <xdr:rowOff>85725</xdr:rowOff>
    </xdr:from>
    <xdr:to>
      <xdr:col>20</xdr:col>
      <xdr:colOff>47625</xdr:colOff>
      <xdr:row>22</xdr:row>
      <xdr:rowOff>28575</xdr:rowOff>
    </xdr:to>
    <xdr:graphicFrame macro="">
      <xdr:nvGraphicFramePr>
        <xdr:cNvPr id="8" name="Chart 7">
          <a:extLst>
            <a:ext uri="{FF2B5EF4-FFF2-40B4-BE49-F238E27FC236}">
              <a16:creationId xmlns:a16="http://schemas.microsoft.com/office/drawing/2014/main" id="{D7510977-A849-49BA-93EB-BB00A71A8B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avya" refreshedDate="45479.91080416667" createdVersion="7" refreshedVersion="7" minRefreshableVersion="3" recordCount="4" xr:uid="{69E0045A-5850-41F1-95D7-953EA5891872}">
  <cacheSource type="worksheet">
    <worksheetSource name="Revenue"/>
  </cacheSource>
  <cacheFields count="6">
    <cacheField name="Revenue by Geographic Segments" numFmtId="0">
      <sharedItems count="4">
        <s v="Americas"/>
        <s v="Europe"/>
        <s v="India"/>
        <s v="Others"/>
      </sharedItems>
    </cacheField>
    <cacheField name="FY 2024" numFmtId="3">
      <sharedItems containsSemiMixedTypes="0" containsString="0" containsNumber="1" containsInteger="1" minValue="13562" maxValue="127939"/>
    </cacheField>
    <cacheField name="FY 2023" numFmtId="3">
      <sharedItems containsSemiMixedTypes="0" containsString="0" containsNumber="1" containsInteger="1" minValue="11271" maxValue="124336" count="4">
        <n v="124336"/>
        <n v="67436"/>
        <n v="11271"/>
        <n v="22415"/>
      </sharedItems>
    </cacheField>
    <cacheField name="FY 2022" numFmtId="3">
      <sharedItems containsSemiMixedTypes="0" containsString="0" containsNumber="1" containsInteger="1" minValue="9805" maxValue="100072"/>
    </cacheField>
    <cacheField name="FY 2021" numFmtId="3">
      <sharedItems containsSemiMixedTypes="0" containsString="0" containsNumber="1" containsInteger="1" minValue="8449" maxValue="84278"/>
    </cacheField>
    <cacheField name="Total Revenue" numFmtId="0">
      <sharedItems containsSemiMixedTypes="0" containsString="0" containsNumber="1" containsInteger="1" minValue="24833" maxValue="252275"/>
    </cacheField>
  </cacheFields>
  <extLst>
    <ext xmlns:x14="http://schemas.microsoft.com/office/spreadsheetml/2009/9/main" uri="{725AE2AE-9491-48be-B2B4-4EB974FC3084}">
      <x14:pivotCacheDefinition pivotCacheId="16823833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avya" refreshedDate="45479.941026388886" createdVersion="7" refreshedVersion="7" minRefreshableVersion="3" recordCount="6" xr:uid="{D3CF13A0-FBB1-4C44-8745-3857EB864B5F}">
  <cacheSource type="worksheet">
    <worksheetSource name="Table57"/>
  </cacheSource>
  <cacheFields count="2">
    <cacheField name="Name" numFmtId="0">
      <sharedItems count="6">
        <s v="N Chandrasekaran"/>
        <s v="Aarthi Subramanian"/>
        <s v="K Krithivasan"/>
        <s v="N G Subramaniam"/>
        <s v="Keki Mistry*"/>
        <s v="Total"/>
      </sharedItems>
    </cacheField>
    <cacheField name="Number of equity shares" numFmtId="0">
      <sharedItems containsSemiMixedTypes="0" containsString="0" containsNumber="1" containsInteger="1" minValue="4150" maxValue="39579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avya" refreshedDate="45481.009836111109" createdVersion="7" refreshedVersion="7" minRefreshableVersion="3" recordCount="12" xr:uid="{5A5EA3FD-BDD4-4D4B-B045-DFD65D69531D}">
  <cacheSource type="worksheet">
    <worksheetSource name="Table002__Page_1"/>
  </cacheSource>
  <cacheFields count="2">
    <cacheField name="Category" numFmtId="0">
      <sharedItems count="12">
        <s v="Promoter"/>
        <s v="Other Entities of Promoter Group"/>
        <s v="Mutual Funds"/>
        <s v="Banks, Financial Institutions, State and Central Government"/>
        <s v="Insurance Companies"/>
        <s v="Foreign InstitutionaI Investors"/>
        <s v="NRIs, OBCs, Foreign Nationals"/>
        <s v="Corporate Bodies, Trusts"/>
        <s v="Indian Public and Others"/>
        <s v="Alternate Investment Fund"/>
        <s v="IEPF Account"/>
        <s v="Total"/>
      </sharedItems>
    </cacheField>
    <cacheField name="Category wise equity_x000a_Shareholding" numFmtId="164">
      <sharedItems containsSemiMixedTypes="0" containsString="0" containsNumber="1" containsInteger="1" minValue="348298" maxValue="3618087518"/>
    </cacheField>
  </cacheFields>
  <extLst>
    <ext xmlns:x14="http://schemas.microsoft.com/office/spreadsheetml/2009/9/main" uri="{725AE2AE-9491-48be-B2B4-4EB974FC3084}">
      <x14:pivotCacheDefinition pivotCacheId="21311636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127939"/>
    <x v="0"/>
    <n v="100072"/>
    <n v="84278"/>
    <n v="252275"/>
  </r>
  <r>
    <x v="1"/>
    <n v="75624"/>
    <x v="1"/>
    <n v="61142"/>
    <n v="52346"/>
    <n v="143060"/>
  </r>
  <r>
    <x v="2"/>
    <n v="13562"/>
    <x v="2"/>
    <n v="9805"/>
    <n v="8449"/>
    <n v="24833"/>
  </r>
  <r>
    <x v="3"/>
    <n v="23768"/>
    <x v="3"/>
    <n v="20735"/>
    <n v="19104"/>
    <n v="4618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177056"/>
  </r>
  <r>
    <x v="1"/>
    <n v="5600"/>
  </r>
  <r>
    <x v="2"/>
    <n v="11232"/>
  </r>
  <r>
    <x v="3"/>
    <n v="197760"/>
  </r>
  <r>
    <x v="4"/>
    <n v="4150"/>
  </r>
  <r>
    <x v="5"/>
    <n v="39579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n v="2595499419"/>
  </r>
  <r>
    <x v="1"/>
    <n v="1059209"/>
  </r>
  <r>
    <x v="2"/>
    <n v="146591425"/>
  </r>
  <r>
    <x v="3"/>
    <n v="348298"/>
  </r>
  <r>
    <x v="4"/>
    <n v="216281096"/>
  </r>
  <r>
    <x v="5"/>
    <n v="459466997"/>
  </r>
  <r>
    <x v="6"/>
    <n v="7838559"/>
  </r>
  <r>
    <x v="7"/>
    <n v="28988390"/>
  </r>
  <r>
    <x v="8"/>
    <n v="158711398"/>
  </r>
  <r>
    <x v="9"/>
    <n v="2653126"/>
  </r>
  <r>
    <x v="10"/>
    <n v="649601"/>
  </r>
  <r>
    <x v="11"/>
    <n v="36180875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68A5C8-6CAF-4B19-A995-27B75493B640}" name="PivotTable6"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9:B15" firstHeaderRow="1" firstDataRow="1" firstDataCol="1"/>
  <pivotFields count="2">
    <pivotField axis="axisRow" showAll="0">
      <items count="7">
        <item x="1"/>
        <item x="2"/>
        <item x="4"/>
        <item x="0"/>
        <item x="3"/>
        <item h="1" x="5"/>
        <item t="default"/>
      </items>
    </pivotField>
    <pivotField dataField="1" showAll="0"/>
  </pivotFields>
  <rowFields count="1">
    <field x="0"/>
  </rowFields>
  <rowItems count="6">
    <i>
      <x/>
    </i>
    <i>
      <x v="1"/>
    </i>
    <i>
      <x v="2"/>
    </i>
    <i>
      <x v="3"/>
    </i>
    <i>
      <x v="4"/>
    </i>
    <i t="grand">
      <x/>
    </i>
  </rowItems>
  <colItems count="1">
    <i/>
  </colItems>
  <dataFields count="1">
    <dataField name="Sum of Number of equity shares" fld="1" baseField="0" baseItem="0"/>
  </dataFields>
  <chartFormats count="4">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E1BEC5-2B14-40B0-91A6-6518D734B0E5}"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A2:E7" firstHeaderRow="0" firstDataRow="1" firstDataCol="1"/>
  <pivotFields count="6">
    <pivotField axis="axisRow" showAll="0">
      <items count="5">
        <item n="America" x="0"/>
        <item x="1"/>
        <item x="2"/>
        <item x="3"/>
        <item t="default"/>
      </items>
    </pivotField>
    <pivotField dataField="1" numFmtId="3" showAll="0"/>
    <pivotField dataField="1" numFmtId="3" showAll="0">
      <items count="5">
        <item x="2"/>
        <item x="3"/>
        <item x="1"/>
        <item x="0"/>
        <item t="default"/>
      </items>
    </pivotField>
    <pivotField dataField="1" numFmtId="3" showAll="0"/>
    <pivotField dataField="1" numFmtId="3" showAll="0"/>
    <pivotField showAll="0"/>
  </pivotFields>
  <rowFields count="1">
    <field x="0"/>
  </rowFields>
  <rowItems count="5">
    <i>
      <x/>
    </i>
    <i>
      <x v="1"/>
    </i>
    <i>
      <x v="2"/>
    </i>
    <i>
      <x v="3"/>
    </i>
    <i t="grand">
      <x/>
    </i>
  </rowItems>
  <colFields count="1">
    <field x="-2"/>
  </colFields>
  <colItems count="4">
    <i>
      <x/>
    </i>
    <i i="1">
      <x v="1"/>
    </i>
    <i i="2">
      <x v="2"/>
    </i>
    <i i="3">
      <x v="3"/>
    </i>
  </colItems>
  <dataFields count="4">
    <dataField name="FY-2024" fld="1" baseField="0" baseItem="0"/>
    <dataField name=" FY-2023" fld="2" baseField="0" baseItem="0"/>
    <dataField name="FY-2022" fld="3" baseField="0" baseItem="0"/>
    <dataField name="FY-2021" fld="4" baseField="0" baseItem="0"/>
  </dataFields>
  <formats count="2">
    <format dxfId="1">
      <pivotArea dataOnly="0" labelOnly="1" outline="0" fieldPosition="0">
        <references count="1">
          <reference field="4294967294" count="4">
            <x v="0"/>
            <x v="1"/>
            <x v="2"/>
            <x v="3"/>
          </reference>
        </references>
      </pivotArea>
    </format>
    <format dxfId="0">
      <pivotArea dataOnly="0" labelOnly="1" outline="0" fieldPosition="0">
        <references count="1">
          <reference field="4294967294" count="4">
            <x v="0"/>
            <x v="1"/>
            <x v="2"/>
            <x v="3"/>
          </reference>
        </references>
      </pivotArea>
    </format>
  </formats>
  <chartFormats count="4">
    <chartFormat chart="8" format="8" series="1">
      <pivotArea type="data" outline="0" fieldPosition="0">
        <references count="1">
          <reference field="4294967294" count="1" selected="0">
            <x v="0"/>
          </reference>
        </references>
      </pivotArea>
    </chartFormat>
    <chartFormat chart="8" format="9" series="1">
      <pivotArea type="data" outline="0" fieldPosition="0">
        <references count="1">
          <reference field="4294967294" count="1" selected="0">
            <x v="1"/>
          </reference>
        </references>
      </pivotArea>
    </chartFormat>
    <chartFormat chart="8" format="10" series="1">
      <pivotArea type="data" outline="0" fieldPosition="0">
        <references count="1">
          <reference field="4294967294" count="1" selected="0">
            <x v="2"/>
          </reference>
        </references>
      </pivotArea>
    </chartFormat>
    <chartFormat chart="8"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9490CC0-5673-462C-AEEA-70E0ED013EDA}" name="PivotTable28"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7:B21" firstHeaderRow="1" firstDataRow="1" firstDataCol="1"/>
  <pivotFields count="2">
    <pivotField axis="axisRow" showAll="0">
      <items count="13">
        <item h="1" x="9"/>
        <item h="1" x="3"/>
        <item h="1" x="7"/>
        <item h="1" x="5"/>
        <item h="1" x="10"/>
        <item x="8"/>
        <item x="4"/>
        <item x="2"/>
        <item h="1" x="6"/>
        <item h="1" x="1"/>
        <item h="1" x="0"/>
        <item h="1" x="11"/>
        <item t="default"/>
      </items>
    </pivotField>
    <pivotField dataField="1" numFmtId="164" showAll="0"/>
  </pivotFields>
  <rowFields count="1">
    <field x="0"/>
  </rowFields>
  <rowItems count="4">
    <i>
      <x v="5"/>
    </i>
    <i>
      <x v="6"/>
    </i>
    <i>
      <x v="7"/>
    </i>
    <i t="grand">
      <x/>
    </i>
  </rowItems>
  <colItems count="1">
    <i/>
  </colItems>
  <dataFields count="1">
    <dataField name="Sum of Category wise equity Shareholding" fld="1" baseField="0" baseItem="0" numFmtId="164"/>
  </dataFields>
  <formats count="1">
    <format dxfId="2">
      <pivotArea outline="0" collapsedLevelsAreSubtotals="1" fieldPosition="0"/>
    </format>
  </formats>
  <chartFormats count="14">
    <chartFormat chart="0" format="0"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0" count="1" selected="0">
            <x v="0"/>
          </reference>
        </references>
      </pivotArea>
    </chartFormat>
    <chartFormat chart="2" format="16">
      <pivotArea type="data" outline="0" fieldPosition="0">
        <references count="2">
          <reference field="4294967294" count="1" selected="0">
            <x v="0"/>
          </reference>
          <reference field="0" count="1" selected="0">
            <x v="1"/>
          </reference>
        </references>
      </pivotArea>
    </chartFormat>
    <chartFormat chart="2" format="17">
      <pivotArea type="data" outline="0" fieldPosition="0">
        <references count="2">
          <reference field="4294967294" count="1" selected="0">
            <x v="0"/>
          </reference>
          <reference field="0" count="1" selected="0">
            <x v="2"/>
          </reference>
        </references>
      </pivotArea>
    </chartFormat>
    <chartFormat chart="2" format="18">
      <pivotArea type="data" outline="0" fieldPosition="0">
        <references count="2">
          <reference field="4294967294" count="1" selected="0">
            <x v="0"/>
          </reference>
          <reference field="0" count="1" selected="0">
            <x v="3"/>
          </reference>
        </references>
      </pivotArea>
    </chartFormat>
    <chartFormat chart="2" format="19">
      <pivotArea type="data" outline="0" fieldPosition="0">
        <references count="2">
          <reference field="4294967294" count="1" selected="0">
            <x v="0"/>
          </reference>
          <reference field="0" count="1" selected="0">
            <x v="4"/>
          </reference>
        </references>
      </pivotArea>
    </chartFormat>
    <chartFormat chart="2" format="20">
      <pivotArea type="data" outline="0" fieldPosition="0">
        <references count="2">
          <reference field="4294967294" count="1" selected="0">
            <x v="0"/>
          </reference>
          <reference field="0" count="1" selected="0">
            <x v="5"/>
          </reference>
        </references>
      </pivotArea>
    </chartFormat>
    <chartFormat chart="2" format="21">
      <pivotArea type="data" outline="0" fieldPosition="0">
        <references count="2">
          <reference field="4294967294" count="1" selected="0">
            <x v="0"/>
          </reference>
          <reference field="0" count="1" selected="0">
            <x v="6"/>
          </reference>
        </references>
      </pivotArea>
    </chartFormat>
    <chartFormat chart="2" format="22">
      <pivotArea type="data" outline="0" fieldPosition="0">
        <references count="2">
          <reference field="4294967294" count="1" selected="0">
            <x v="0"/>
          </reference>
          <reference field="0" count="1" selected="0">
            <x v="7"/>
          </reference>
        </references>
      </pivotArea>
    </chartFormat>
    <chartFormat chart="2" format="23">
      <pivotArea type="data" outline="0" fieldPosition="0">
        <references count="2">
          <reference field="4294967294" count="1" selected="0">
            <x v="0"/>
          </reference>
          <reference field="0" count="1" selected="0">
            <x v="8"/>
          </reference>
        </references>
      </pivotArea>
    </chartFormat>
    <chartFormat chart="2" format="24">
      <pivotArea type="data" outline="0" fieldPosition="0">
        <references count="2">
          <reference field="4294967294" count="1" selected="0">
            <x v="0"/>
          </reference>
          <reference field="0" count="1" selected="0">
            <x v="9"/>
          </reference>
        </references>
      </pivotArea>
    </chartFormat>
    <chartFormat chart="2" format="25">
      <pivotArea type="data" outline="0" fieldPosition="0">
        <references count="2">
          <reference field="4294967294" count="1" selected="0">
            <x v="0"/>
          </reference>
          <reference field="0" count="1" selected="0">
            <x v="10"/>
          </reference>
        </references>
      </pivotArea>
    </chartFormat>
    <chartFormat chart="2" format="26">
      <pivotArea type="data" outline="0" fieldPosition="0">
        <references count="2">
          <reference field="4294967294" count="1" selected="0">
            <x v="0"/>
          </reference>
          <reference field="0"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headers="0" connectionId="1" xr16:uid="{BC2BFB92-C9CB-4B06-A1B1-6AFBF6B1E59D}" autoFormatId="16" applyNumberFormats="0" applyBorderFormats="0" applyFontFormats="0" applyPatternFormats="0" applyAlignmentFormats="0" applyWidthHeightFormats="0">
  <queryTableRefresh headersInLastRefresh="0" nextId="11">
    <queryTableFields count="4">
      <queryTableField id="3" name="Column3" tableColumnId="3"/>
      <queryTableField id="6" name="Column6" tableColumnId="6"/>
      <queryTableField id="8" name="Column8" tableColumnId="8"/>
      <queryTableField id="10" name="Column10" tableColumnId="10"/>
    </queryTableFields>
    <queryTableDeletedFields count="6">
      <deletedField name="Column1"/>
      <deletedField name="Column2"/>
      <deletedField name="Column4"/>
      <deletedField name="Column5"/>
      <deletedField name="Column7"/>
      <deletedField name="Column9"/>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headers="0" connectionId="2" xr16:uid="{D87927F2-DCD9-48D4-8235-095FA8AAD4B9}" autoFormatId="16" applyNumberFormats="0" applyBorderFormats="0" applyFontFormats="0" applyPatternFormats="0" applyAlignmentFormats="0" applyWidthHeightFormats="0">
  <queryTableRefresh headersInLastRefresh="0" nextId="5">
    <queryTableFields count="4">
      <queryTableField id="1" name="Column1" tableColumnId="1"/>
      <queryTableField id="2" name="Column2" tableColumnId="2"/>
      <queryTableField id="3" name="Column3" tableColumnId="3"/>
      <queryTableField id="4" name="Column4"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64022FC6-F250-4FE3-BFC0-48B98B244674}" autoFormatId="16" applyNumberFormats="0" applyBorderFormats="0" applyFontFormats="0" applyPatternFormats="0" applyAlignmentFormats="0" applyWidthHeightFormats="0">
  <queryTableRefresh nextId="3">
    <queryTableFields count="2">
      <queryTableField id="1" name="Category" tableColumnId="1"/>
      <queryTableField id="2" name="Category wise equity_x000a_Shareholding"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venue_by_Geographic_Segments" xr10:uid="{528BACA7-93B4-44D5-B377-CBADC9320DC7}" sourceName="Revenue by Geographic Segments">
  <pivotTables>
    <pivotTable tabId="9" name="PivotTable3"/>
  </pivotTables>
  <data>
    <tabular pivotCacheId="168238339">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A11224F-504A-48C5-8774-1DEA4557B75B}" sourceName="Category">
  <pivotTables>
    <pivotTable tabId="9" name="PivotTable28"/>
  </pivotTables>
  <data>
    <tabular pivotCacheId="2131163638">
      <items count="12">
        <i x="9"/>
        <i x="3"/>
        <i x="7"/>
        <i x="5"/>
        <i x="10"/>
        <i x="8" s="1"/>
        <i x="4" s="1"/>
        <i x="2" s="1"/>
        <i x="6"/>
        <i x="1"/>
        <i x="0"/>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venue by Geographic Segments" xr10:uid="{B76C23D1-45DE-49F4-9131-350E1C7ABD8B}" cache="Slicer_Revenue_by_Geographic_Segments" caption="Revenue by Geographic Segments" rowHeight="241300"/>
  <slicer name="Category" xr10:uid="{001E1709-011F-4979-8F4D-AAF986272262}" cache="Slicer_Category" caption="Category" startItem="4"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167BDE-8FCB-4EC7-ADBD-B7F0D28298D7}" name="BalanceSheet" displayName="BalanceSheet" ref="A2:D61" tableType="queryTable" headerRowCount="0" totalsRowShown="0">
  <tableColumns count="4">
    <tableColumn id="3" xr3:uid="{1C6E10D5-9B8E-4EED-8DC1-1911EA2DF332}" uniqueName="3" name="Column1" queryTableFieldId="3" dataDxfId="30"/>
    <tableColumn id="6" xr3:uid="{B45D6471-912A-44BA-A086-5C0F50557937}" uniqueName="6" name="Column6" queryTableFieldId="6" dataDxfId="29"/>
    <tableColumn id="8" xr3:uid="{8CC04A45-C385-4A0F-A54C-FF7D252039C9}" uniqueName="8" name="Column8" queryTableFieldId="8" dataDxfId="28"/>
    <tableColumn id="10" xr3:uid="{A90F8D7B-F083-4303-9623-9772BA55A96A}" uniqueName="10" name="Column10" queryTableFieldId="10" dataDxfId="27"/>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92B1600-F8DF-4B76-8B4D-7E99AD4C0140}" name="ProfitAndLoss" displayName="ProfitAndLoss" ref="A3:D52" tableType="queryTable" headerRowCount="0" totalsRowShown="0">
  <tableColumns count="4">
    <tableColumn id="1" xr3:uid="{C6B3C425-0947-44D3-BFAD-B7B9B3D012FC}" uniqueName="1" name="Column1" queryTableFieldId="1" dataDxfId="26"/>
    <tableColumn id="2" xr3:uid="{316C0395-D2D1-420F-9A66-D15DE0B384F6}" uniqueName="2" name="Column2" queryTableFieldId="2" dataDxfId="25"/>
    <tableColumn id="3" xr3:uid="{91D85096-2F96-406E-A651-2852138BC54C}" uniqueName="3" name="Column3" queryTableFieldId="3" dataDxfId="24"/>
    <tableColumn id="4" xr3:uid="{57FABAD0-1383-420C-BBB7-105CE3EAE6BC}" uniqueName="4" name="Column4" queryTableFieldId="4" dataDxfId="23"/>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727EF92-A3EB-4BDF-BBA7-41C0B2B6F533}" name="Revenue" displayName="Revenue" ref="A2:F6" totalsRowShown="0" headerRowDxfId="22" tableBorderDxfId="21">
  <autoFilter ref="A2:F6" xr:uid="{9727EF92-A3EB-4BDF-BBA7-41C0B2B6F533}"/>
  <tableColumns count="6">
    <tableColumn id="1" xr3:uid="{0998FB6C-3893-443F-BCC4-CD6242214F3B}" name="Revenue by Geographic Segments"/>
    <tableColumn id="2" xr3:uid="{5A74D693-ED65-401B-88A8-FC49C6C1A0C4}" name="FY 2024" dataDxfId="20"/>
    <tableColumn id="3" xr3:uid="{9F40217B-84EB-4AF6-A727-93421B99CEEB}" name="FY 2023" dataDxfId="19"/>
    <tableColumn id="5" xr3:uid="{4796EDB4-BF16-47C3-82ED-8C3D0B39130C}" name="FY 2022" dataDxfId="18"/>
    <tableColumn id="6" xr3:uid="{00D77645-E5B6-4C71-BCE1-91D741654558}" name="FY 2021" dataDxfId="17"/>
    <tableColumn id="4" xr3:uid="{AD84FCAC-5696-4872-88B8-A31DFD7DF3DE}" name="Total Revenue" dataDxfId="16">
      <calculatedColumnFormula>SUM(Revenue[[#This Row],[FY 2024]:[FY 2023]])</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0E3F753-2EB5-4F8B-BE2D-D51448464384}" name="Table574" displayName="Table574" ref="H2:I8" totalsRowShown="0" headerRowDxfId="15" headerRowBorderDxfId="14" tableBorderDxfId="13">
  <autoFilter ref="H2:I8" xr:uid="{B0E3F753-2EB5-4F8B-BE2D-D51448464384}"/>
  <tableColumns count="2">
    <tableColumn id="1" xr3:uid="{E85D8B29-62C0-40EC-949E-AB9BB3491E55}" name="Name"/>
    <tableColumn id="2" xr3:uid="{1199CF77-D227-4D4D-AA1A-9CB7FF724ECE}" name="Number of equity shares" dataDxfId="12"/>
  </tableColumns>
  <tableStyleInfo name="TableStyleLight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5744DF0-C94B-483A-93C5-AAE958CB6C37}" name="Table6" displayName="Table6" ref="A3:G15" totalsRowShown="0">
  <autoFilter ref="A3:G15" xr:uid="{55744DF0-C94B-483A-93C5-AAE958CB6C37}"/>
  <tableColumns count="7">
    <tableColumn id="1" xr3:uid="{F77A0083-4588-4C2C-A28A-2B2C16CB1153}" name="Month" dataDxfId="11"/>
    <tableColumn id="2" xr3:uid="{B7E4C2A8-92AB-48EC-850E-1EA68F071A7D}" name="High (Rs.)" dataDxfId="10"/>
    <tableColumn id="3" xr3:uid="{156BF088-CD8E-467F-9397-C9CE961C95CC}" name="Low (Rs.)" dataDxfId="9"/>
    <tableColumn id="4" xr3:uid="{362772F7-0C12-46F2-9AF1-EEAABAD27780}" name="Total number of equity shares traded" dataDxfId="8"/>
    <tableColumn id="5" xr3:uid="{DAF778BB-761A-4C14-B669-E74E4EB7CBD0}" name="High (Rs.)2" dataDxfId="7"/>
    <tableColumn id="6" xr3:uid="{54B5E181-9C5A-415F-BD13-EB9A18186820}" name="Low (Rs.)3" dataDxfId="6"/>
    <tableColumn id="7" xr3:uid="{9021DF6F-26A0-4DA9-9533-9A5EF73BF032}" name="Total number of equity shares traded4" dataDxfId="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AB693AA-E150-4D11-AD66-6C5A2ACC8BC0}" name="Table002__Page_1" displayName="Table002__Page_1" ref="A1:B13" tableType="queryTable" totalsRowShown="0">
  <autoFilter ref="A1:B13" xr:uid="{8AB693AA-E150-4D11-AD66-6C5A2ACC8BC0}"/>
  <tableColumns count="2">
    <tableColumn id="1" xr3:uid="{838B4769-B4CA-4A47-A51D-2629B30D1C44}" uniqueName="1" name="Category" queryTableFieldId="1" dataDxfId="4"/>
    <tableColumn id="2" xr3:uid="{C306CD3F-6102-4F35-8770-F9512F15D851}" uniqueName="2" name="Category wise equity _x000a_Shareholding" queryTableFieldId="2" dataDxfId="3" dataCellStyle="Comma"/>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3F42E-74DD-4C9F-AD63-B0D034CE0C6E}">
  <sheetPr codeName="Sheet1"/>
  <dimension ref="A1:D62"/>
  <sheetViews>
    <sheetView tabSelected="1" workbookViewId="0">
      <selection sqref="A1:D1"/>
    </sheetView>
  </sheetViews>
  <sheetFormatPr defaultRowHeight="15"/>
  <cols>
    <col min="1" max="1" width="61.140625" bestFit="1" customWidth="1"/>
    <col min="2" max="2" width="7" bestFit="1" customWidth="1"/>
    <col min="3" max="4" width="25.140625" bestFit="1" customWidth="1"/>
  </cols>
  <sheetData>
    <row r="1" spans="1:4" ht="23.25">
      <c r="A1" s="48" t="s">
        <v>0</v>
      </c>
      <c r="B1" s="49"/>
      <c r="C1" s="49"/>
      <c r="D1" s="49"/>
    </row>
    <row r="2" spans="1:4">
      <c r="A2" s="1"/>
      <c r="B2" s="1"/>
      <c r="C2" s="1"/>
      <c r="D2" s="6" t="s">
        <v>161</v>
      </c>
    </row>
    <row r="3" spans="1:4" ht="18.75">
      <c r="A3" s="2" t="s">
        <v>2</v>
      </c>
      <c r="B3" s="2" t="s">
        <v>1</v>
      </c>
      <c r="C3" s="2" t="s">
        <v>159</v>
      </c>
      <c r="D3" s="2" t="s">
        <v>160</v>
      </c>
    </row>
    <row r="4" spans="1:4">
      <c r="C4" s="3"/>
    </row>
    <row r="5" spans="1:4" ht="15.75">
      <c r="A5" s="7" t="s">
        <v>3</v>
      </c>
      <c r="B5" s="1"/>
      <c r="D5" s="1"/>
    </row>
    <row r="6" spans="1:4">
      <c r="A6" s="1" t="s">
        <v>4</v>
      </c>
      <c r="B6" s="1" t="s">
        <v>5</v>
      </c>
      <c r="C6" s="6" t="s">
        <v>6</v>
      </c>
      <c r="D6" s="6" t="s">
        <v>7</v>
      </c>
    </row>
    <row r="7" spans="1:4">
      <c r="A7" s="1" t="s">
        <v>8</v>
      </c>
      <c r="B7" s="1" t="s">
        <v>5</v>
      </c>
      <c r="C7" s="6" t="s">
        <v>9</v>
      </c>
      <c r="D7" s="6" t="s">
        <v>10</v>
      </c>
    </row>
    <row r="8" spans="1:4">
      <c r="A8" s="1" t="s">
        <v>11</v>
      </c>
      <c r="B8" s="1" t="s">
        <v>12</v>
      </c>
      <c r="C8" s="6" t="s">
        <v>13</v>
      </c>
      <c r="D8" s="6" t="s">
        <v>14</v>
      </c>
    </row>
    <row r="9" spans="1:4">
      <c r="A9" s="1" t="s">
        <v>15</v>
      </c>
      <c r="B9" s="1" t="s">
        <v>16</v>
      </c>
      <c r="C9" s="6" t="s">
        <v>17</v>
      </c>
      <c r="D9" s="6" t="s">
        <v>18</v>
      </c>
    </row>
    <row r="10" spans="1:4">
      <c r="A10" s="1" t="s">
        <v>19</v>
      </c>
      <c r="B10" s="1" t="s">
        <v>20</v>
      </c>
      <c r="C10" s="6" t="s">
        <v>21</v>
      </c>
      <c r="D10" s="6" t="s">
        <v>22</v>
      </c>
    </row>
    <row r="11" spans="1:4">
      <c r="A11" s="1" t="s">
        <v>23</v>
      </c>
      <c r="B11" s="1"/>
      <c r="C11" s="6"/>
      <c r="D11" s="6"/>
    </row>
    <row r="12" spans="1:4">
      <c r="A12" s="1" t="s">
        <v>24</v>
      </c>
      <c r="B12" s="1" t="s">
        <v>25</v>
      </c>
      <c r="C12" s="6" t="s">
        <v>26</v>
      </c>
      <c r="D12" s="6" t="s">
        <v>27</v>
      </c>
    </row>
    <row r="13" spans="1:4">
      <c r="A13" s="1" t="s">
        <v>28</v>
      </c>
      <c r="B13" s="1"/>
      <c r="C13" s="6"/>
      <c r="D13" s="6"/>
    </row>
    <row r="14" spans="1:4">
      <c r="A14" s="1" t="s">
        <v>29</v>
      </c>
      <c r="B14" s="1" t="s">
        <v>30</v>
      </c>
      <c r="C14" s="6" t="s">
        <v>31</v>
      </c>
      <c r="D14" s="6" t="s">
        <v>32</v>
      </c>
    </row>
    <row r="15" spans="1:4">
      <c r="A15" s="1" t="s">
        <v>33</v>
      </c>
      <c r="B15" s="1"/>
      <c r="C15" s="6" t="s">
        <v>34</v>
      </c>
      <c r="D15" s="6" t="s">
        <v>35</v>
      </c>
    </row>
    <row r="16" spans="1:4">
      <c r="A16" s="1" t="s">
        <v>36</v>
      </c>
      <c r="B16" s="1" t="s">
        <v>37</v>
      </c>
      <c r="C16" s="6" t="s">
        <v>38</v>
      </c>
      <c r="D16" s="6" t="s">
        <v>39</v>
      </c>
    </row>
    <row r="17" spans="1:4">
      <c r="A17" s="1" t="s">
        <v>40</v>
      </c>
      <c r="B17" s="1" t="s">
        <v>41</v>
      </c>
      <c r="C17" s="6" t="s">
        <v>42</v>
      </c>
      <c r="D17" s="6" t="s">
        <v>43</v>
      </c>
    </row>
    <row r="18" spans="1:4">
      <c r="A18" s="1" t="s">
        <v>44</v>
      </c>
      <c r="B18" s="1" t="s">
        <v>45</v>
      </c>
      <c r="C18" s="6" t="s">
        <v>46</v>
      </c>
      <c r="D18" s="6" t="s">
        <v>47</v>
      </c>
    </row>
    <row r="19" spans="1:4">
      <c r="A19" s="1" t="s">
        <v>48</v>
      </c>
      <c r="B19" s="1"/>
      <c r="C19" s="6" t="s">
        <v>49</v>
      </c>
      <c r="D19" s="6" t="s">
        <v>50</v>
      </c>
    </row>
    <row r="20" spans="1:4">
      <c r="A20" s="1" t="s">
        <v>51</v>
      </c>
      <c r="B20" s="1" t="s">
        <v>52</v>
      </c>
      <c r="C20" s="6" t="s">
        <v>53</v>
      </c>
      <c r="D20" s="6" t="s">
        <v>54</v>
      </c>
    </row>
    <row r="21" spans="1:4" ht="16.5" thickBot="1">
      <c r="A21" s="7" t="s">
        <v>55</v>
      </c>
      <c r="B21" s="1"/>
      <c r="C21" s="8" t="s">
        <v>56</v>
      </c>
      <c r="D21" s="8" t="s">
        <v>57</v>
      </c>
    </row>
    <row r="22" spans="1:4" ht="16.5" thickTop="1">
      <c r="A22" s="7" t="s">
        <v>58</v>
      </c>
      <c r="B22" s="1"/>
      <c r="C22" s="6"/>
      <c r="D22" s="6"/>
    </row>
    <row r="23" spans="1:4">
      <c r="A23" s="1" t="s">
        <v>59</v>
      </c>
      <c r="B23" s="1" t="s">
        <v>60</v>
      </c>
      <c r="C23" s="6" t="s">
        <v>61</v>
      </c>
      <c r="D23" s="6" t="s">
        <v>61</v>
      </c>
    </row>
    <row r="24" spans="1:4">
      <c r="A24" s="1" t="s">
        <v>24</v>
      </c>
      <c r="B24" s="1" t="s">
        <v>25</v>
      </c>
      <c r="C24" s="6" t="s">
        <v>62</v>
      </c>
      <c r="D24" s="6" t="s">
        <v>63</v>
      </c>
    </row>
    <row r="25" spans="1:4">
      <c r="A25" s="1" t="s">
        <v>29</v>
      </c>
      <c r="B25" s="1" t="s">
        <v>30</v>
      </c>
      <c r="C25" s="6" t="s">
        <v>64</v>
      </c>
      <c r="D25" s="6" t="s">
        <v>65</v>
      </c>
    </row>
    <row r="26" spans="1:4">
      <c r="A26" s="1" t="s">
        <v>33</v>
      </c>
      <c r="B26" s="1"/>
      <c r="C26" s="6" t="s">
        <v>66</v>
      </c>
      <c r="D26" s="6" t="s">
        <v>67</v>
      </c>
    </row>
    <row r="27" spans="1:4">
      <c r="A27" s="1" t="s">
        <v>68</v>
      </c>
      <c r="B27" s="1" t="s">
        <v>69</v>
      </c>
      <c r="C27" s="6" t="s">
        <v>70</v>
      </c>
      <c r="D27" s="6" t="s">
        <v>71</v>
      </c>
    </row>
    <row r="28" spans="1:4">
      <c r="A28" s="1" t="s">
        <v>72</v>
      </c>
      <c r="B28" s="1" t="s">
        <v>73</v>
      </c>
      <c r="C28" s="6" t="s">
        <v>74</v>
      </c>
      <c r="D28" s="6" t="s">
        <v>75</v>
      </c>
    </row>
    <row r="29" spans="1:4">
      <c r="A29" s="1" t="s">
        <v>36</v>
      </c>
      <c r="B29" s="1" t="s">
        <v>37</v>
      </c>
      <c r="C29" s="6" t="s">
        <v>76</v>
      </c>
      <c r="D29" s="6" t="s">
        <v>77</v>
      </c>
    </row>
    <row r="30" spans="1:4">
      <c r="A30" s="1" t="s">
        <v>40</v>
      </c>
      <c r="B30" s="1" t="s">
        <v>41</v>
      </c>
      <c r="C30" s="6" t="s">
        <v>78</v>
      </c>
      <c r="D30" s="6" t="s">
        <v>79</v>
      </c>
    </row>
    <row r="31" spans="1:4">
      <c r="A31" s="1" t="s">
        <v>48</v>
      </c>
      <c r="B31" s="1"/>
      <c r="C31" s="6" t="s">
        <v>80</v>
      </c>
      <c r="D31" s="6" t="s">
        <v>81</v>
      </c>
    </row>
    <row r="32" spans="1:4">
      <c r="A32" s="1" t="s">
        <v>51</v>
      </c>
      <c r="B32" s="1" t="s">
        <v>52</v>
      </c>
      <c r="C32" s="6" t="s">
        <v>82</v>
      </c>
      <c r="D32" s="6" t="s">
        <v>83</v>
      </c>
    </row>
    <row r="33" spans="1:4" ht="16.5" thickBot="1">
      <c r="A33" s="7" t="s">
        <v>84</v>
      </c>
      <c r="B33" s="1"/>
      <c r="C33" s="8" t="s">
        <v>85</v>
      </c>
      <c r="D33" s="8" t="s">
        <v>86</v>
      </c>
    </row>
    <row r="34" spans="1:4" ht="17.25" thickTop="1" thickBot="1">
      <c r="A34" s="7" t="s">
        <v>87</v>
      </c>
      <c r="B34" s="1"/>
      <c r="C34" s="10" t="s">
        <v>88</v>
      </c>
      <c r="D34" s="10" t="s">
        <v>89</v>
      </c>
    </row>
    <row r="35" spans="1:4" ht="19.5" thickTop="1">
      <c r="A35" s="2" t="s">
        <v>90</v>
      </c>
      <c r="B35" s="1"/>
      <c r="C35" s="6"/>
      <c r="D35" s="6"/>
    </row>
    <row r="36" spans="1:4" ht="18.75">
      <c r="A36" s="2" t="s">
        <v>91</v>
      </c>
      <c r="B36" s="1"/>
      <c r="C36" s="6"/>
      <c r="D36" s="6"/>
    </row>
    <row r="37" spans="1:4">
      <c r="A37" s="1" t="s">
        <v>92</v>
      </c>
      <c r="B37" s="1" t="s">
        <v>93</v>
      </c>
      <c r="C37" s="6" t="s">
        <v>94</v>
      </c>
      <c r="D37" s="6" t="s">
        <v>95</v>
      </c>
    </row>
    <row r="38" spans="1:4">
      <c r="A38" s="1" t="s">
        <v>96</v>
      </c>
      <c r="B38" s="1"/>
      <c r="C38" s="6" t="s">
        <v>97</v>
      </c>
      <c r="D38" s="6" t="s">
        <v>98</v>
      </c>
    </row>
    <row r="39" spans="1:4" ht="18.75">
      <c r="A39" s="2" t="s">
        <v>99</v>
      </c>
      <c r="B39" s="1"/>
      <c r="C39" s="6" t="s">
        <v>100</v>
      </c>
      <c r="D39" s="6" t="s">
        <v>101</v>
      </c>
    </row>
    <row r="40" spans="1:4">
      <c r="A40" s="1" t="s">
        <v>102</v>
      </c>
      <c r="B40" s="1"/>
      <c r="C40" s="6" t="s">
        <v>103</v>
      </c>
      <c r="D40" s="6" t="s">
        <v>104</v>
      </c>
    </row>
    <row r="41" spans="1:4" ht="19.5" thickBot="1">
      <c r="A41" s="2" t="s">
        <v>105</v>
      </c>
      <c r="B41" s="1"/>
      <c r="C41" s="8" t="s">
        <v>106</v>
      </c>
      <c r="D41" s="8" t="s">
        <v>107</v>
      </c>
    </row>
    <row r="42" spans="1:4" ht="19.5" thickTop="1">
      <c r="A42" s="2" t="s">
        <v>108</v>
      </c>
      <c r="B42" s="1"/>
      <c r="C42" s="6"/>
      <c r="D42" s="6"/>
    </row>
    <row r="43" spans="1:4" ht="18.75">
      <c r="A43" s="2" t="s">
        <v>109</v>
      </c>
      <c r="B43" s="1"/>
      <c r="C43" s="6"/>
      <c r="D43" s="6"/>
    </row>
    <row r="44" spans="1:4">
      <c r="A44" s="1" t="s">
        <v>110</v>
      </c>
      <c r="B44" s="1"/>
      <c r="C44" s="6"/>
      <c r="D44" s="6"/>
    </row>
    <row r="45" spans="1:4">
      <c r="A45" s="1" t="s">
        <v>111</v>
      </c>
      <c r="B45" s="1"/>
      <c r="C45" s="6" t="s">
        <v>112</v>
      </c>
      <c r="D45" s="6" t="s">
        <v>113</v>
      </c>
    </row>
    <row r="46" spans="1:4">
      <c r="A46" s="1" t="s">
        <v>114</v>
      </c>
      <c r="B46" s="1" t="s">
        <v>115</v>
      </c>
      <c r="C46" s="6" t="s">
        <v>116</v>
      </c>
      <c r="D46" s="6" t="s">
        <v>117</v>
      </c>
    </row>
    <row r="47" spans="1:4">
      <c r="A47" s="1" t="s">
        <v>118</v>
      </c>
      <c r="B47" s="1" t="s">
        <v>119</v>
      </c>
      <c r="C47" s="6" t="s">
        <v>120</v>
      </c>
      <c r="D47" s="6" t="s">
        <v>121</v>
      </c>
    </row>
    <row r="48" spans="1:4">
      <c r="A48" s="1" t="s">
        <v>122</v>
      </c>
      <c r="B48" s="1" t="s">
        <v>45</v>
      </c>
      <c r="C48" s="6" t="s">
        <v>123</v>
      </c>
      <c r="D48" s="6" t="s">
        <v>124</v>
      </c>
    </row>
    <row r="49" spans="1:4">
      <c r="A49" s="1" t="s">
        <v>125</v>
      </c>
      <c r="B49" s="1"/>
      <c r="C49" s="6" t="s">
        <v>126</v>
      </c>
      <c r="D49" s="6" t="s">
        <v>127</v>
      </c>
    </row>
    <row r="50" spans="1:4" ht="19.5" thickBot="1">
      <c r="A50" s="2" t="s">
        <v>128</v>
      </c>
      <c r="B50" s="1"/>
      <c r="C50" s="8" t="s">
        <v>129</v>
      </c>
      <c r="D50" s="8" t="s">
        <v>130</v>
      </c>
    </row>
    <row r="51" spans="1:4" ht="19.5" thickTop="1">
      <c r="A51" s="2" t="s">
        <v>131</v>
      </c>
      <c r="B51" s="1"/>
      <c r="C51" s="6"/>
      <c r="D51" s="6"/>
    </row>
    <row r="52" spans="1:4">
      <c r="A52" s="1" t="s">
        <v>111</v>
      </c>
      <c r="B52" s="1"/>
      <c r="C52" s="6" t="s">
        <v>132</v>
      </c>
      <c r="D52" s="6" t="s">
        <v>133</v>
      </c>
    </row>
    <row r="53" spans="1:4">
      <c r="A53" s="1" t="s">
        <v>134</v>
      </c>
      <c r="B53" s="1" t="s">
        <v>135</v>
      </c>
      <c r="C53" s="6" t="s">
        <v>136</v>
      </c>
      <c r="D53" s="6" t="s">
        <v>137</v>
      </c>
    </row>
    <row r="54" spans="1:4">
      <c r="A54" s="1" t="s">
        <v>114</v>
      </c>
      <c r="B54" s="1" t="s">
        <v>115</v>
      </c>
      <c r="C54" s="6" t="s">
        <v>138</v>
      </c>
      <c r="D54" s="6" t="s">
        <v>139</v>
      </c>
    </row>
    <row r="55" spans="1:4">
      <c r="A55" s="1" t="s">
        <v>125</v>
      </c>
      <c r="B55" s="1"/>
      <c r="C55" s="6" t="s">
        <v>140</v>
      </c>
      <c r="D55" s="6" t="s">
        <v>141</v>
      </c>
    </row>
    <row r="56" spans="1:4">
      <c r="A56" s="1" t="s">
        <v>142</v>
      </c>
      <c r="B56" s="1" t="s">
        <v>143</v>
      </c>
      <c r="C56" s="6" t="s">
        <v>144</v>
      </c>
      <c r="D56" s="6" t="s">
        <v>145</v>
      </c>
    </row>
    <row r="57" spans="1:4">
      <c r="A57" s="1" t="s">
        <v>146</v>
      </c>
      <c r="B57" s="1" t="s">
        <v>147</v>
      </c>
      <c r="C57" s="6" t="s">
        <v>148</v>
      </c>
      <c r="D57" s="6" t="s">
        <v>149</v>
      </c>
    </row>
    <row r="58" spans="1:4">
      <c r="A58" s="1" t="s">
        <v>118</v>
      </c>
      <c r="B58" s="1" t="s">
        <v>119</v>
      </c>
      <c r="C58" s="6" t="s">
        <v>150</v>
      </c>
      <c r="D58" s="6" t="s">
        <v>151</v>
      </c>
    </row>
    <row r="59" spans="1:4">
      <c r="A59" s="1" t="s">
        <v>152</v>
      </c>
      <c r="B59" s="1"/>
      <c r="C59" s="6" t="s">
        <v>153</v>
      </c>
      <c r="D59" s="6" t="s">
        <v>154</v>
      </c>
    </row>
    <row r="60" spans="1:4" ht="18.75">
      <c r="A60" s="2" t="s">
        <v>155</v>
      </c>
      <c r="B60" s="1"/>
      <c r="C60" s="9" t="s">
        <v>156</v>
      </c>
      <c r="D60" s="9" t="s">
        <v>157</v>
      </c>
    </row>
    <row r="61" spans="1:4" ht="19.5" thickBot="1">
      <c r="A61" s="2" t="s">
        <v>158</v>
      </c>
      <c r="B61" s="1"/>
      <c r="C61" s="10" t="s">
        <v>88</v>
      </c>
      <c r="D61" s="10" t="s">
        <v>89</v>
      </c>
    </row>
    <row r="62" spans="1:4" ht="15.75" thickTop="1"/>
  </sheetData>
  <mergeCells count="1">
    <mergeCell ref="A1:D1"/>
  </mergeCells>
  <phoneticPr fontId="4" type="noConversion"/>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E5C4E1-75BC-44EA-90F5-D6CD26E1464D}">
  <sheetPr codeName="Sheet2"/>
  <dimension ref="A1:D53"/>
  <sheetViews>
    <sheetView workbookViewId="0">
      <selection activeCell="C3" sqref="C3"/>
    </sheetView>
  </sheetViews>
  <sheetFormatPr defaultRowHeight="15"/>
  <cols>
    <col min="1" max="1" width="79.42578125" bestFit="1" customWidth="1"/>
    <col min="2" max="2" width="7" bestFit="1" customWidth="1"/>
    <col min="3" max="4" width="19.28515625" bestFit="1" customWidth="1"/>
  </cols>
  <sheetData>
    <row r="1" spans="1:4" ht="23.25">
      <c r="A1" s="48" t="s">
        <v>274</v>
      </c>
      <c r="B1" s="49"/>
      <c r="C1" s="49"/>
      <c r="D1" s="49"/>
    </row>
    <row r="2" spans="1:4" ht="14.25" customHeight="1">
      <c r="A2" s="4"/>
      <c r="B2" s="5"/>
      <c r="C2" s="5"/>
      <c r="D2" s="13" t="s">
        <v>161</v>
      </c>
    </row>
    <row r="3" spans="1:4" ht="18.75">
      <c r="A3" s="1"/>
      <c r="B3" s="2" t="s">
        <v>1</v>
      </c>
      <c r="C3" s="2" t="s">
        <v>162</v>
      </c>
      <c r="D3" s="2" t="s">
        <v>162</v>
      </c>
    </row>
    <row r="4" spans="1:4" ht="18.75">
      <c r="A4" s="1"/>
      <c r="B4" s="2"/>
      <c r="C4" s="2" t="s">
        <v>163</v>
      </c>
      <c r="D4" s="2" t="s">
        <v>164</v>
      </c>
    </row>
    <row r="5" spans="1:4">
      <c r="A5" s="1" t="s">
        <v>165</v>
      </c>
      <c r="B5" s="1" t="s">
        <v>166</v>
      </c>
      <c r="C5" s="6" t="s">
        <v>167</v>
      </c>
      <c r="D5" s="6" t="s">
        <v>168</v>
      </c>
    </row>
    <row r="6" spans="1:4">
      <c r="A6" s="1" t="s">
        <v>169</v>
      </c>
      <c r="B6" s="1" t="s">
        <v>170</v>
      </c>
      <c r="C6" s="6" t="s">
        <v>171</v>
      </c>
      <c r="D6" s="6" t="s">
        <v>172</v>
      </c>
    </row>
    <row r="7" spans="1:4" ht="16.5" thickBot="1">
      <c r="A7" s="7" t="s">
        <v>173</v>
      </c>
      <c r="B7" s="1"/>
      <c r="C7" s="8" t="s">
        <v>174</v>
      </c>
      <c r="D7" s="8" t="s">
        <v>175</v>
      </c>
    </row>
    <row r="8" spans="1:4" ht="16.5" thickTop="1">
      <c r="A8" s="7" t="s">
        <v>176</v>
      </c>
      <c r="B8" s="1"/>
      <c r="C8" s="6"/>
      <c r="D8" s="6"/>
    </row>
    <row r="9" spans="1:4">
      <c r="A9" s="1" t="s">
        <v>177</v>
      </c>
      <c r="B9" s="1" t="s">
        <v>119</v>
      </c>
      <c r="C9" s="6" t="s">
        <v>178</v>
      </c>
      <c r="D9" s="6" t="s">
        <v>179</v>
      </c>
    </row>
    <row r="10" spans="1:4">
      <c r="A10" s="1" t="s">
        <v>180</v>
      </c>
      <c r="B10" s="1" t="s">
        <v>181</v>
      </c>
      <c r="C10" s="6" t="s">
        <v>182</v>
      </c>
      <c r="D10" s="6" t="s">
        <v>183</v>
      </c>
    </row>
    <row r="11" spans="1:4">
      <c r="A11" s="1" t="s">
        <v>184</v>
      </c>
      <c r="B11" s="1" t="s">
        <v>34</v>
      </c>
      <c r="C11" s="6" t="s">
        <v>185</v>
      </c>
      <c r="D11" s="6" t="s">
        <v>186</v>
      </c>
    </row>
    <row r="12" spans="1:4">
      <c r="A12" s="1" t="s">
        <v>187</v>
      </c>
      <c r="B12" s="1"/>
      <c r="C12" s="6" t="s">
        <v>188</v>
      </c>
      <c r="D12" s="6" t="s">
        <v>189</v>
      </c>
    </row>
    <row r="13" spans="1:4">
      <c r="A13" s="1" t="s">
        <v>190</v>
      </c>
      <c r="B13" s="1" t="s">
        <v>191</v>
      </c>
      <c r="C13" s="6" t="s">
        <v>192</v>
      </c>
      <c r="D13" s="6" t="s">
        <v>193</v>
      </c>
    </row>
    <row r="14" spans="1:4" ht="16.5" thickBot="1">
      <c r="A14" s="7" t="s">
        <v>194</v>
      </c>
      <c r="B14" s="1"/>
      <c r="C14" s="8" t="s">
        <v>195</v>
      </c>
      <c r="D14" s="8" t="s">
        <v>196</v>
      </c>
    </row>
    <row r="15" spans="1:4" ht="20.25" thickTop="1" thickBot="1">
      <c r="A15" s="2" t="s">
        <v>197</v>
      </c>
      <c r="B15" s="1"/>
      <c r="C15" s="10" t="s">
        <v>198</v>
      </c>
      <c r="D15" s="10" t="s">
        <v>199</v>
      </c>
    </row>
    <row r="16" spans="1:4" ht="16.5" thickTop="1">
      <c r="A16" s="7" t="s">
        <v>200</v>
      </c>
      <c r="B16" s="1"/>
      <c r="C16" s="6"/>
      <c r="D16" s="6"/>
    </row>
    <row r="17" spans="1:4">
      <c r="A17" s="1" t="s">
        <v>201</v>
      </c>
      <c r="B17" s="1" t="s">
        <v>202</v>
      </c>
      <c r="C17" s="6" t="s">
        <v>203</v>
      </c>
      <c r="D17" s="6" t="s">
        <v>204</v>
      </c>
    </row>
    <row r="18" spans="1:4" ht="18.75">
      <c r="A18" s="2" t="s">
        <v>205</v>
      </c>
      <c r="B18" s="1"/>
      <c r="C18" s="6" t="s">
        <v>206</v>
      </c>
      <c r="D18" s="6" t="s">
        <v>199</v>
      </c>
    </row>
    <row r="19" spans="1:4" ht="15.75">
      <c r="A19" s="7" t="s">
        <v>207</v>
      </c>
      <c r="B19" s="1"/>
      <c r="C19" s="6"/>
      <c r="D19" s="6"/>
    </row>
    <row r="20" spans="1:4">
      <c r="A20" s="1" t="s">
        <v>208</v>
      </c>
      <c r="B20" s="1" t="s">
        <v>45</v>
      </c>
      <c r="C20" s="6" t="s">
        <v>209</v>
      </c>
      <c r="D20" s="6" t="s">
        <v>210</v>
      </c>
    </row>
    <row r="21" spans="1:4">
      <c r="A21" s="1" t="s">
        <v>211</v>
      </c>
      <c r="B21" s="1" t="s">
        <v>45</v>
      </c>
      <c r="C21" s="6" t="s">
        <v>212</v>
      </c>
      <c r="D21" s="6" t="s">
        <v>213</v>
      </c>
    </row>
    <row r="22" spans="1:4" ht="16.5" thickBot="1">
      <c r="A22" s="7" t="s">
        <v>214</v>
      </c>
      <c r="B22" s="1"/>
      <c r="C22" s="8" t="s">
        <v>215</v>
      </c>
      <c r="D22" s="8" t="s">
        <v>216</v>
      </c>
    </row>
    <row r="23" spans="1:4" ht="20.25" thickTop="1" thickBot="1">
      <c r="A23" s="2" t="s">
        <v>217</v>
      </c>
      <c r="B23" s="1"/>
      <c r="C23" s="10" t="s">
        <v>218</v>
      </c>
      <c r="D23" s="10" t="s">
        <v>219</v>
      </c>
    </row>
    <row r="24" spans="1:4" ht="16.5" thickTop="1">
      <c r="A24" s="7" t="s">
        <v>220</v>
      </c>
      <c r="B24" s="1"/>
      <c r="C24" s="6"/>
      <c r="D24" s="6"/>
    </row>
    <row r="25" spans="1:4" ht="15.75">
      <c r="A25" s="7" t="s">
        <v>221</v>
      </c>
      <c r="B25" s="1"/>
      <c r="C25" s="6"/>
      <c r="D25" s="6"/>
    </row>
    <row r="26" spans="1:4">
      <c r="A26" s="1" t="s">
        <v>222</v>
      </c>
      <c r="B26" s="1"/>
      <c r="C26" s="6" t="s">
        <v>223</v>
      </c>
      <c r="D26" s="6" t="s">
        <v>224</v>
      </c>
    </row>
    <row r="27" spans="1:4">
      <c r="A27" s="1" t="s">
        <v>225</v>
      </c>
      <c r="B27" s="1"/>
      <c r="C27" s="6" t="s">
        <v>226</v>
      </c>
      <c r="D27" s="6" t="s">
        <v>223</v>
      </c>
    </row>
    <row r="28" spans="1:4">
      <c r="A28" s="1" t="s">
        <v>227</v>
      </c>
      <c r="B28" s="1"/>
      <c r="C28" s="6"/>
      <c r="D28" s="6"/>
    </row>
    <row r="29" spans="1:4" ht="15.75">
      <c r="A29" s="7" t="s">
        <v>228</v>
      </c>
      <c r="B29" s="1"/>
      <c r="C29" s="6" t="s">
        <v>229</v>
      </c>
      <c r="D29" s="6" t="s">
        <v>230</v>
      </c>
    </row>
    <row r="30" spans="1:4" ht="15.75">
      <c r="A30" s="7" t="s">
        <v>231</v>
      </c>
      <c r="B30" s="1"/>
      <c r="C30" s="6"/>
      <c r="D30" s="6"/>
    </row>
    <row r="31" spans="1:4">
      <c r="A31" s="1" t="s">
        <v>232</v>
      </c>
      <c r="B31" s="1"/>
      <c r="C31" s="6" t="s">
        <v>233</v>
      </c>
      <c r="D31" s="6" t="s">
        <v>234</v>
      </c>
    </row>
    <row r="32" spans="1:4">
      <c r="A32" s="1" t="s">
        <v>235</v>
      </c>
      <c r="B32" s="1"/>
      <c r="C32" s="6"/>
      <c r="D32" s="6"/>
    </row>
    <row r="33" spans="1:4">
      <c r="A33" s="1" t="s">
        <v>236</v>
      </c>
      <c r="B33" s="1"/>
      <c r="C33" s="6" t="s">
        <v>237</v>
      </c>
      <c r="D33" s="6" t="s">
        <v>238</v>
      </c>
    </row>
    <row r="34" spans="1:4">
      <c r="A34" s="1" t="s">
        <v>239</v>
      </c>
      <c r="B34" s="1"/>
      <c r="C34" s="6" t="s">
        <v>170</v>
      </c>
      <c r="D34" s="6" t="s">
        <v>240</v>
      </c>
    </row>
    <row r="35" spans="1:4">
      <c r="A35" s="1" t="s">
        <v>241</v>
      </c>
      <c r="B35" s="1"/>
      <c r="C35" s="6" t="s">
        <v>242</v>
      </c>
      <c r="D35" s="6" t="s">
        <v>243</v>
      </c>
    </row>
    <row r="36" spans="1:4" ht="15.75">
      <c r="A36" s="7" t="s">
        <v>244</v>
      </c>
      <c r="B36" s="1"/>
      <c r="C36" s="6" t="s">
        <v>245</v>
      </c>
      <c r="D36" s="6" t="s">
        <v>246</v>
      </c>
    </row>
    <row r="37" spans="1:4" ht="19.5" thickBot="1">
      <c r="A37" s="2" t="s">
        <v>247</v>
      </c>
      <c r="B37" s="1"/>
      <c r="C37" s="10" t="s">
        <v>233</v>
      </c>
      <c r="D37" s="10" t="s">
        <v>248</v>
      </c>
    </row>
    <row r="38" spans="1:4" ht="20.25" thickTop="1" thickBot="1">
      <c r="A38" s="2" t="s">
        <v>249</v>
      </c>
      <c r="B38" s="1"/>
      <c r="C38" s="10" t="s">
        <v>250</v>
      </c>
      <c r="D38" s="10" t="s">
        <v>251</v>
      </c>
    </row>
    <row r="39" spans="1:4" ht="16.5" thickTop="1">
      <c r="A39" s="7" t="s">
        <v>252</v>
      </c>
      <c r="B39" s="1"/>
      <c r="C39" s="6"/>
      <c r="D39" s="6"/>
    </row>
    <row r="40" spans="1:4">
      <c r="A40" s="1" t="s">
        <v>253</v>
      </c>
      <c r="B40" s="1"/>
      <c r="C40" s="6" t="s">
        <v>254</v>
      </c>
      <c r="D40" s="6" t="s">
        <v>255</v>
      </c>
    </row>
    <row r="41" spans="1:4">
      <c r="A41" s="1" t="s">
        <v>102</v>
      </c>
      <c r="B41" s="1"/>
      <c r="C41" s="6" t="s">
        <v>256</v>
      </c>
      <c r="D41" s="6" t="s">
        <v>257</v>
      </c>
    </row>
    <row r="42" spans="1:4">
      <c r="A42" s="1"/>
      <c r="B42" s="1"/>
      <c r="C42" s="6" t="s">
        <v>218</v>
      </c>
      <c r="D42" s="6" t="s">
        <v>219</v>
      </c>
    </row>
    <row r="43" spans="1:4" ht="15.75">
      <c r="A43" s="7" t="s">
        <v>258</v>
      </c>
      <c r="B43" s="1"/>
      <c r="C43" s="6"/>
      <c r="D43" s="6"/>
    </row>
    <row r="44" spans="1:4">
      <c r="A44" s="1" t="s">
        <v>253</v>
      </c>
      <c r="B44" s="1"/>
      <c r="C44" s="6" t="s">
        <v>259</v>
      </c>
      <c r="D44" s="6" t="s">
        <v>260</v>
      </c>
    </row>
    <row r="45" spans="1:4">
      <c r="A45" s="1" t="s">
        <v>102</v>
      </c>
      <c r="B45" s="1"/>
      <c r="C45" s="6" t="s">
        <v>261</v>
      </c>
      <c r="D45" s="6" t="s">
        <v>262</v>
      </c>
    </row>
    <row r="46" spans="1:4">
      <c r="A46" s="1"/>
      <c r="B46" s="1"/>
      <c r="C46" s="6" t="s">
        <v>233</v>
      </c>
      <c r="D46" s="6" t="s">
        <v>248</v>
      </c>
    </row>
    <row r="47" spans="1:4" ht="15.75">
      <c r="A47" s="7" t="s">
        <v>263</v>
      </c>
      <c r="B47" s="1"/>
      <c r="C47" s="6"/>
      <c r="D47" s="6"/>
    </row>
    <row r="48" spans="1:4">
      <c r="A48" s="1" t="s">
        <v>253</v>
      </c>
      <c r="B48" s="1"/>
      <c r="C48" s="6" t="s">
        <v>264</v>
      </c>
      <c r="D48" s="6" t="s">
        <v>265</v>
      </c>
    </row>
    <row r="49" spans="1:4">
      <c r="A49" s="1" t="s">
        <v>102</v>
      </c>
      <c r="B49" s="1"/>
      <c r="C49" s="6" t="s">
        <v>266</v>
      </c>
      <c r="D49" s="6" t="s">
        <v>267</v>
      </c>
    </row>
    <row r="50" spans="1:4" ht="16.5" thickBot="1">
      <c r="A50" s="1"/>
      <c r="B50" s="1"/>
      <c r="C50" s="10" t="s">
        <v>250</v>
      </c>
      <c r="D50" s="10" t="s">
        <v>251</v>
      </c>
    </row>
    <row r="51" spans="1:4" ht="16.5" thickTop="1">
      <c r="A51" s="7" t="s">
        <v>268</v>
      </c>
      <c r="B51" s="1" t="s">
        <v>269</v>
      </c>
      <c r="C51" s="6" t="s">
        <v>270</v>
      </c>
      <c r="D51" s="6">
        <v>115.19</v>
      </c>
    </row>
    <row r="52" spans="1:4" ht="15.75" thickBot="1">
      <c r="A52" s="1" t="s">
        <v>271</v>
      </c>
      <c r="B52" s="1"/>
      <c r="C52" s="8" t="s">
        <v>272</v>
      </c>
      <c r="D52" s="8" t="s">
        <v>273</v>
      </c>
    </row>
    <row r="53" spans="1:4" ht="15.75" thickTop="1"/>
  </sheetData>
  <mergeCells count="1">
    <mergeCell ref="A1:D1"/>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A269B-22D9-4A7D-AF10-6750C7C0D970}">
  <sheetPr codeName="Sheet3"/>
  <dimension ref="A1:C73"/>
  <sheetViews>
    <sheetView workbookViewId="0">
      <selection activeCell="B13" sqref="B13"/>
    </sheetView>
  </sheetViews>
  <sheetFormatPr defaultRowHeight="15"/>
  <cols>
    <col min="1" max="1" width="94" bestFit="1" customWidth="1"/>
    <col min="2" max="3" width="34.140625" bestFit="1" customWidth="1"/>
  </cols>
  <sheetData>
    <row r="1" spans="1:3" ht="23.25">
      <c r="A1" s="48" t="s">
        <v>418</v>
      </c>
      <c r="B1" s="49"/>
      <c r="C1" s="49"/>
    </row>
    <row r="2" spans="1:3" ht="23.25">
      <c r="A2" s="11"/>
      <c r="B2" s="12"/>
      <c r="C2" s="13" t="s">
        <v>161</v>
      </c>
    </row>
    <row r="3" spans="1:3">
      <c r="A3" t="s">
        <v>421</v>
      </c>
      <c r="B3" t="s">
        <v>422</v>
      </c>
      <c r="C3" t="s">
        <v>423</v>
      </c>
    </row>
    <row r="4" spans="1:3" ht="37.5">
      <c r="A4" s="1"/>
      <c r="B4" s="17" t="s">
        <v>275</v>
      </c>
      <c r="C4" s="17" t="s">
        <v>276</v>
      </c>
    </row>
    <row r="5" spans="1:3" ht="18.75">
      <c r="A5" s="2" t="s">
        <v>277</v>
      </c>
      <c r="B5" s="1"/>
      <c r="C5" s="1"/>
    </row>
    <row r="6" spans="1:3" ht="15.75">
      <c r="A6" s="7" t="s">
        <v>278</v>
      </c>
      <c r="B6" s="14" t="s">
        <v>218</v>
      </c>
      <c r="C6" s="14" t="s">
        <v>219</v>
      </c>
    </row>
    <row r="7" spans="1:3" ht="15.75">
      <c r="A7" s="7" t="s">
        <v>279</v>
      </c>
      <c r="B7" s="14"/>
      <c r="C7" s="14"/>
    </row>
    <row r="8" spans="1:3">
      <c r="A8" s="1" t="s">
        <v>187</v>
      </c>
      <c r="B8" s="14" t="s">
        <v>188</v>
      </c>
      <c r="C8" s="14" t="s">
        <v>189</v>
      </c>
    </row>
    <row r="9" spans="1:3">
      <c r="A9" s="1" t="s">
        <v>280</v>
      </c>
      <c r="B9" s="14" t="s">
        <v>281</v>
      </c>
      <c r="C9" s="14" t="s">
        <v>148</v>
      </c>
    </row>
    <row r="10" spans="1:3">
      <c r="A10" s="1" t="s">
        <v>207</v>
      </c>
      <c r="B10" s="14" t="s">
        <v>215</v>
      </c>
      <c r="C10" s="14" t="s">
        <v>216</v>
      </c>
    </row>
    <row r="11" spans="1:3">
      <c r="A11" s="1" t="s">
        <v>282</v>
      </c>
      <c r="B11" s="14" t="s">
        <v>283</v>
      </c>
      <c r="C11" s="14" t="s">
        <v>38</v>
      </c>
    </row>
    <row r="12" spans="1:3">
      <c r="A12" s="1" t="s">
        <v>284</v>
      </c>
      <c r="B12" s="14" t="s">
        <v>285</v>
      </c>
      <c r="C12" s="14" t="s">
        <v>286</v>
      </c>
    </row>
    <row r="13" spans="1:3">
      <c r="A13" s="1" t="s">
        <v>287</v>
      </c>
      <c r="B13" s="14" t="s">
        <v>283</v>
      </c>
      <c r="C13" s="14" t="s">
        <v>288</v>
      </c>
    </row>
    <row r="14" spans="1:3">
      <c r="A14" s="1" t="s">
        <v>289</v>
      </c>
      <c r="B14" s="14" t="s">
        <v>290</v>
      </c>
      <c r="C14" s="14" t="s">
        <v>291</v>
      </c>
    </row>
    <row r="15" spans="1:3">
      <c r="A15" s="1" t="s">
        <v>292</v>
      </c>
      <c r="B15" s="14" t="s">
        <v>293</v>
      </c>
      <c r="C15" s="14" t="s">
        <v>294</v>
      </c>
    </row>
    <row r="16" spans="1:3">
      <c r="A16" s="1" t="s">
        <v>295</v>
      </c>
      <c r="B16" s="14" t="s">
        <v>296</v>
      </c>
      <c r="C16" s="14" t="s">
        <v>297</v>
      </c>
    </row>
    <row r="17" spans="1:3">
      <c r="A17" s="1" t="s">
        <v>184</v>
      </c>
      <c r="B17" s="14" t="s">
        <v>185</v>
      </c>
      <c r="C17" s="14" t="s">
        <v>186</v>
      </c>
    </row>
    <row r="18" spans="1:3" ht="16.5" thickBot="1">
      <c r="A18" s="7" t="s">
        <v>298</v>
      </c>
      <c r="B18" s="15" t="s">
        <v>299</v>
      </c>
      <c r="C18" s="15" t="s">
        <v>300</v>
      </c>
    </row>
    <row r="19" spans="1:3" ht="16.5" thickTop="1">
      <c r="A19" s="7" t="s">
        <v>301</v>
      </c>
      <c r="B19" s="14"/>
      <c r="C19" s="14"/>
    </row>
    <row r="20" spans="1:3">
      <c r="A20" s="1" t="s">
        <v>59</v>
      </c>
      <c r="B20" s="14" t="s">
        <v>204</v>
      </c>
      <c r="C20" s="14" t="s">
        <v>302</v>
      </c>
    </row>
    <row r="21" spans="1:3">
      <c r="A21" s="1" t="s">
        <v>28</v>
      </c>
      <c r="B21" s="14"/>
      <c r="C21" s="14"/>
    </row>
    <row r="22" spans="1:3">
      <c r="A22" s="1" t="s">
        <v>29</v>
      </c>
      <c r="B22" s="14" t="s">
        <v>303</v>
      </c>
      <c r="C22" s="14" t="s">
        <v>304</v>
      </c>
    </row>
    <row r="23" spans="1:3">
      <c r="A23" s="1" t="s">
        <v>33</v>
      </c>
      <c r="B23" s="14" t="s">
        <v>305</v>
      </c>
      <c r="C23" s="14" t="s">
        <v>306</v>
      </c>
    </row>
    <row r="24" spans="1:3">
      <c r="A24" s="1" t="s">
        <v>307</v>
      </c>
      <c r="B24" s="14" t="s">
        <v>308</v>
      </c>
      <c r="C24" s="14" t="s">
        <v>309</v>
      </c>
    </row>
    <row r="25" spans="1:3">
      <c r="A25" s="1" t="s">
        <v>51</v>
      </c>
      <c r="B25" s="14" t="s">
        <v>310</v>
      </c>
      <c r="C25" s="14" t="s">
        <v>238</v>
      </c>
    </row>
    <row r="26" spans="1:3">
      <c r="A26" s="1" t="s">
        <v>134</v>
      </c>
      <c r="B26" s="14" t="s">
        <v>311</v>
      </c>
      <c r="C26" s="14" t="s">
        <v>312</v>
      </c>
    </row>
    <row r="27" spans="1:3">
      <c r="A27" s="1" t="s">
        <v>125</v>
      </c>
      <c r="B27" s="14" t="s">
        <v>313</v>
      </c>
      <c r="C27" s="14" t="s">
        <v>314</v>
      </c>
    </row>
    <row r="28" spans="1:3">
      <c r="A28" s="1" t="s">
        <v>114</v>
      </c>
      <c r="B28" s="14" t="s">
        <v>315</v>
      </c>
      <c r="C28" s="14" t="s">
        <v>316</v>
      </c>
    </row>
    <row r="29" spans="1:3">
      <c r="A29" s="1" t="s">
        <v>317</v>
      </c>
      <c r="B29" s="14" t="s">
        <v>318</v>
      </c>
      <c r="C29" s="14" t="s">
        <v>319</v>
      </c>
    </row>
    <row r="30" spans="1:3" ht="16.5" thickBot="1">
      <c r="A30" s="7" t="s">
        <v>320</v>
      </c>
      <c r="B30" s="16" t="s">
        <v>321</v>
      </c>
      <c r="C30" s="16" t="s">
        <v>322</v>
      </c>
    </row>
    <row r="31" spans="1:3" ht="15.75" thickTop="1">
      <c r="A31" s="1" t="s">
        <v>323</v>
      </c>
      <c r="B31" s="14" t="s">
        <v>324</v>
      </c>
      <c r="C31" s="14" t="s">
        <v>325</v>
      </c>
    </row>
    <row r="32" spans="1:3" ht="16.5" thickBot="1">
      <c r="A32" s="7" t="s">
        <v>326</v>
      </c>
      <c r="B32" s="15" t="s">
        <v>327</v>
      </c>
      <c r="C32" s="15" t="s">
        <v>328</v>
      </c>
    </row>
    <row r="33" spans="1:3" ht="16.5" thickTop="1">
      <c r="A33" s="7"/>
      <c r="B33" s="14"/>
      <c r="C33" s="14"/>
    </row>
    <row r="34" spans="1:3" ht="18.75">
      <c r="A34" s="2" t="s">
        <v>329</v>
      </c>
      <c r="B34" s="14"/>
      <c r="C34" s="14"/>
    </row>
    <row r="35" spans="1:3">
      <c r="A35" s="1" t="s">
        <v>330</v>
      </c>
      <c r="B35" s="14" t="s">
        <v>331</v>
      </c>
      <c r="C35" s="14" t="s">
        <v>332</v>
      </c>
    </row>
    <row r="36" spans="1:3">
      <c r="A36" s="1" t="s">
        <v>333</v>
      </c>
      <c r="B36" s="14" t="s">
        <v>204</v>
      </c>
      <c r="C36" s="14" t="s">
        <v>334</v>
      </c>
    </row>
    <row r="37" spans="1:3">
      <c r="A37" s="1" t="s">
        <v>335</v>
      </c>
      <c r="B37" s="14" t="s">
        <v>336</v>
      </c>
      <c r="C37" s="14" t="s">
        <v>337</v>
      </c>
    </row>
    <row r="38" spans="1:3">
      <c r="A38" s="1" t="s">
        <v>338</v>
      </c>
      <c r="B38" s="14" t="s">
        <v>339</v>
      </c>
      <c r="C38" s="14" t="s">
        <v>340</v>
      </c>
    </row>
    <row r="39" spans="1:3">
      <c r="A39" s="1" t="s">
        <v>341</v>
      </c>
      <c r="B39" s="14" t="s">
        <v>342</v>
      </c>
      <c r="C39" s="14" t="s">
        <v>343</v>
      </c>
    </row>
    <row r="40" spans="1:3">
      <c r="A40" s="1" t="s">
        <v>344</v>
      </c>
      <c r="B40" s="14" t="s">
        <v>345</v>
      </c>
      <c r="C40" s="14" t="s">
        <v>346</v>
      </c>
    </row>
    <row r="41" spans="1:3">
      <c r="A41" s="1" t="s">
        <v>347</v>
      </c>
      <c r="B41" s="14" t="s">
        <v>348</v>
      </c>
      <c r="C41" s="14" t="s">
        <v>349</v>
      </c>
    </row>
    <row r="42" spans="1:3">
      <c r="A42" s="1" t="s">
        <v>350</v>
      </c>
      <c r="B42" s="14" t="s">
        <v>351</v>
      </c>
      <c r="C42" s="14" t="s">
        <v>352</v>
      </c>
    </row>
    <row r="43" spans="1:3">
      <c r="A43" s="1" t="s">
        <v>353</v>
      </c>
      <c r="B43" s="14" t="s">
        <v>354</v>
      </c>
      <c r="C43" s="14" t="s">
        <v>355</v>
      </c>
    </row>
    <row r="44" spans="1:3">
      <c r="A44" s="1" t="s">
        <v>356</v>
      </c>
      <c r="B44" s="14" t="s">
        <v>357</v>
      </c>
      <c r="C44" s="14" t="s">
        <v>38</v>
      </c>
    </row>
    <row r="45" spans="1:3">
      <c r="A45" s="1" t="s">
        <v>358</v>
      </c>
      <c r="B45" s="14" t="s">
        <v>45</v>
      </c>
      <c r="C45" s="14" t="s">
        <v>359</v>
      </c>
    </row>
    <row r="46" spans="1:3">
      <c r="A46" s="1" t="s">
        <v>360</v>
      </c>
      <c r="B46" s="14" t="s">
        <v>361</v>
      </c>
      <c r="C46" s="14" t="s">
        <v>204</v>
      </c>
    </row>
    <row r="47" spans="1:3">
      <c r="A47" s="1" t="s">
        <v>362</v>
      </c>
      <c r="B47" s="14" t="s">
        <v>363</v>
      </c>
      <c r="C47" s="14" t="s">
        <v>364</v>
      </c>
    </row>
    <row r="48" spans="1:3">
      <c r="A48" s="1" t="s">
        <v>365</v>
      </c>
      <c r="B48" s="14" t="s">
        <v>366</v>
      </c>
      <c r="C48" s="14" t="s">
        <v>170</v>
      </c>
    </row>
    <row r="49" spans="1:3" ht="16.5" thickBot="1">
      <c r="A49" s="7" t="s">
        <v>367</v>
      </c>
      <c r="B49" s="15" t="s">
        <v>368</v>
      </c>
      <c r="C49" s="15" t="s">
        <v>314</v>
      </c>
    </row>
    <row r="50" spans="1:3" ht="19.5" thickTop="1">
      <c r="A50" s="2" t="s">
        <v>369</v>
      </c>
      <c r="B50" s="14"/>
      <c r="C50" s="14"/>
    </row>
    <row r="51" spans="1:3">
      <c r="A51" s="1" t="s">
        <v>370</v>
      </c>
      <c r="B51" s="14" t="s">
        <v>371</v>
      </c>
      <c r="C51" s="14" t="s">
        <v>372</v>
      </c>
    </row>
    <row r="52" spans="1:3">
      <c r="A52" s="1" t="s">
        <v>373</v>
      </c>
      <c r="B52" s="14" t="s">
        <v>374</v>
      </c>
      <c r="C52" s="14" t="s">
        <v>375</v>
      </c>
    </row>
    <row r="53" spans="1:3">
      <c r="A53" s="1" t="s">
        <v>376</v>
      </c>
      <c r="B53" s="14" t="s">
        <v>377</v>
      </c>
      <c r="C53" s="14" t="s">
        <v>378</v>
      </c>
    </row>
    <row r="54" spans="1:3">
      <c r="A54" s="1" t="s">
        <v>379</v>
      </c>
      <c r="B54" s="14" t="s">
        <v>380</v>
      </c>
      <c r="C54" s="14" t="s">
        <v>381</v>
      </c>
    </row>
    <row r="55" spans="1:3">
      <c r="A55" s="1" t="s">
        <v>382</v>
      </c>
      <c r="B55" s="14" t="s">
        <v>383</v>
      </c>
      <c r="C55" s="14" t="s">
        <v>204</v>
      </c>
    </row>
    <row r="56" spans="1:3">
      <c r="A56" s="1" t="s">
        <v>384</v>
      </c>
      <c r="B56" s="14" t="s">
        <v>385</v>
      </c>
      <c r="C56" s="14" t="s">
        <v>269</v>
      </c>
    </row>
    <row r="57" spans="1:3">
      <c r="A57" s="1" t="s">
        <v>386</v>
      </c>
      <c r="B57" s="14" t="s">
        <v>387</v>
      </c>
      <c r="C57" s="14" t="s">
        <v>204</v>
      </c>
    </row>
    <row r="58" spans="1:3">
      <c r="A58" s="1" t="s">
        <v>388</v>
      </c>
      <c r="B58" s="14" t="s">
        <v>389</v>
      </c>
      <c r="C58" s="14" t="s">
        <v>390</v>
      </c>
    </row>
    <row r="59" spans="1:3">
      <c r="A59" s="1" t="s">
        <v>391</v>
      </c>
      <c r="B59" s="14" t="s">
        <v>392</v>
      </c>
      <c r="C59" s="14" t="s">
        <v>204</v>
      </c>
    </row>
    <row r="60" spans="1:3" ht="16.5" thickBot="1">
      <c r="A60" s="7" t="s">
        <v>393</v>
      </c>
      <c r="B60" s="16" t="s">
        <v>394</v>
      </c>
      <c r="C60" s="16" t="s">
        <v>395</v>
      </c>
    </row>
    <row r="61" spans="1:3" ht="16.5" thickTop="1">
      <c r="A61" s="7" t="s">
        <v>396</v>
      </c>
      <c r="B61" s="14" t="s">
        <v>397</v>
      </c>
      <c r="C61" s="14" t="s">
        <v>398</v>
      </c>
    </row>
    <row r="62" spans="1:3">
      <c r="A62" s="1" t="s">
        <v>399</v>
      </c>
      <c r="B62" s="14" t="s">
        <v>71</v>
      </c>
      <c r="C62" s="14" t="s">
        <v>400</v>
      </c>
    </row>
    <row r="63" spans="1:3">
      <c r="A63" s="1" t="s">
        <v>401</v>
      </c>
      <c r="B63" s="14" t="s">
        <v>402</v>
      </c>
      <c r="C63" s="14" t="s">
        <v>403</v>
      </c>
    </row>
    <row r="64" spans="1:3" ht="16.5" thickBot="1">
      <c r="A64" s="7" t="s">
        <v>404</v>
      </c>
      <c r="B64" s="15" t="s">
        <v>70</v>
      </c>
      <c r="C64" s="15" t="s">
        <v>71</v>
      </c>
    </row>
    <row r="65" spans="1:3" ht="16.5" thickTop="1">
      <c r="A65" s="7" t="s">
        <v>405</v>
      </c>
      <c r="B65" s="14"/>
      <c r="C65" s="14"/>
    </row>
    <row r="66" spans="1:3" ht="15.75">
      <c r="A66" s="7" t="s">
        <v>406</v>
      </c>
      <c r="B66" s="14"/>
      <c r="C66" s="14"/>
    </row>
    <row r="67" spans="1:3">
      <c r="A67" s="1" t="s">
        <v>407</v>
      </c>
      <c r="B67" s="14" t="s">
        <v>408</v>
      </c>
      <c r="C67" s="14" t="s">
        <v>409</v>
      </c>
    </row>
    <row r="68" spans="1:3">
      <c r="A68" s="1" t="s">
        <v>410</v>
      </c>
      <c r="B68" s="14" t="s">
        <v>411</v>
      </c>
      <c r="C68" s="14" t="s">
        <v>412</v>
      </c>
    </row>
    <row r="69" spans="1:3">
      <c r="A69" s="1" t="s">
        <v>413</v>
      </c>
      <c r="B69" s="14" t="s">
        <v>414</v>
      </c>
      <c r="C69" s="14" t="s">
        <v>414</v>
      </c>
    </row>
    <row r="70" spans="1:3">
      <c r="A70" s="1" t="s">
        <v>415</v>
      </c>
      <c r="B70" s="14" t="s">
        <v>414</v>
      </c>
      <c r="C70" s="14" t="s">
        <v>414</v>
      </c>
    </row>
    <row r="71" spans="1:3">
      <c r="A71" s="1" t="s">
        <v>416</v>
      </c>
      <c r="B71" s="14" t="s">
        <v>414</v>
      </c>
      <c r="C71" s="14" t="s">
        <v>417</v>
      </c>
    </row>
    <row r="72" spans="1:3" ht="16.5" thickBot="1">
      <c r="A72" s="1"/>
      <c r="B72" s="15" t="s">
        <v>70</v>
      </c>
      <c r="C72" s="15" t="s">
        <v>71</v>
      </c>
    </row>
    <row r="73" spans="1:3" ht="15.75" thickTop="1"/>
  </sheetData>
  <mergeCells count="1">
    <mergeCell ref="A1:C1"/>
  </mergeCells>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6D803-F6DD-4B00-9405-1D4F7F915DCD}">
  <sheetPr codeName="Sheet4"/>
  <dimension ref="A1:I8"/>
  <sheetViews>
    <sheetView workbookViewId="0">
      <selection sqref="A1:F1"/>
    </sheetView>
  </sheetViews>
  <sheetFormatPr defaultRowHeight="15"/>
  <cols>
    <col min="1" max="1" width="41.5703125" customWidth="1"/>
    <col min="2" max="5" width="12.140625" customWidth="1"/>
    <col min="6" max="6" width="20.140625" bestFit="1" customWidth="1"/>
    <col min="8" max="8" width="18.7109375" bestFit="1" customWidth="1"/>
    <col min="9" max="9" width="31.140625" customWidth="1"/>
  </cols>
  <sheetData>
    <row r="1" spans="1:9" ht="23.25">
      <c r="A1" s="48" t="s">
        <v>424</v>
      </c>
      <c r="B1" s="49"/>
      <c r="C1" s="49"/>
      <c r="D1" s="49"/>
      <c r="E1" s="49"/>
      <c r="F1" s="49"/>
    </row>
    <row r="2" spans="1:9" ht="18.75">
      <c r="A2" s="21" t="s">
        <v>425</v>
      </c>
      <c r="B2" s="21" t="s">
        <v>429</v>
      </c>
      <c r="C2" s="21" t="s">
        <v>430</v>
      </c>
      <c r="D2" s="21" t="s">
        <v>435</v>
      </c>
      <c r="E2" s="21" t="s">
        <v>436</v>
      </c>
      <c r="F2" s="2" t="s">
        <v>431</v>
      </c>
      <c r="H2" s="23" t="s">
        <v>439</v>
      </c>
      <c r="I2" s="23" t="s">
        <v>445</v>
      </c>
    </row>
    <row r="3" spans="1:9">
      <c r="A3" t="s">
        <v>437</v>
      </c>
      <c r="B3" s="20">
        <v>127939</v>
      </c>
      <c r="C3" s="20">
        <v>124336</v>
      </c>
      <c r="D3" s="20">
        <v>100072</v>
      </c>
      <c r="E3" s="20">
        <v>84278</v>
      </c>
      <c r="F3">
        <f>SUM(Revenue[[#This Row],[FY 2024]:[FY 2023]])</f>
        <v>252275</v>
      </c>
      <c r="H3" t="s">
        <v>440</v>
      </c>
      <c r="I3" s="24">
        <v>177056</v>
      </c>
    </row>
    <row r="4" spans="1:9">
      <c r="A4" t="s">
        <v>427</v>
      </c>
      <c r="B4" s="20">
        <v>75624</v>
      </c>
      <c r="C4" s="20">
        <v>67436</v>
      </c>
      <c r="D4" s="20">
        <v>61142</v>
      </c>
      <c r="E4" s="20">
        <v>52346</v>
      </c>
      <c r="F4">
        <f>SUM(Revenue[[#This Row],[FY 2024]:[FY 2023]])</f>
        <v>143060</v>
      </c>
      <c r="H4" t="s">
        <v>441</v>
      </c>
      <c r="I4" s="25">
        <v>5600</v>
      </c>
    </row>
    <row r="5" spans="1:9">
      <c r="A5" t="s">
        <v>426</v>
      </c>
      <c r="B5" s="20">
        <v>13562</v>
      </c>
      <c r="C5" s="20">
        <v>11271</v>
      </c>
      <c r="D5" s="20">
        <v>9805</v>
      </c>
      <c r="E5" s="20">
        <v>8449</v>
      </c>
      <c r="F5">
        <f>SUM(Revenue[[#This Row],[FY 2024]:[FY 2023]])</f>
        <v>24833</v>
      </c>
      <c r="H5" t="s">
        <v>442</v>
      </c>
      <c r="I5" s="25">
        <v>11232</v>
      </c>
    </row>
    <row r="6" spans="1:9">
      <c r="A6" t="s">
        <v>428</v>
      </c>
      <c r="B6" s="20">
        <v>23768</v>
      </c>
      <c r="C6" s="20">
        <v>22415</v>
      </c>
      <c r="D6" s="20">
        <v>20735</v>
      </c>
      <c r="E6" s="20">
        <v>19104</v>
      </c>
      <c r="F6">
        <f>SUM(Revenue[[#This Row],[FY 2024]:[FY 2023]])</f>
        <v>46183</v>
      </c>
      <c r="H6" t="s">
        <v>443</v>
      </c>
      <c r="I6" s="24">
        <v>197760</v>
      </c>
    </row>
    <row r="7" spans="1:9">
      <c r="H7" t="s">
        <v>444</v>
      </c>
      <c r="I7" s="25">
        <v>4150</v>
      </c>
    </row>
    <row r="8" spans="1:9">
      <c r="H8" t="s">
        <v>446</v>
      </c>
      <c r="I8" s="20">
        <f>SUBTOTAL(109,I3:I7)</f>
        <v>395798</v>
      </c>
    </row>
  </sheetData>
  <mergeCells count="1">
    <mergeCell ref="A1:F1"/>
  </mergeCells>
  <phoneticPr fontId="4" type="noConversion"/>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017F1-C13C-4567-8053-3268605B671D}">
  <sheetPr codeName="Sheet5"/>
  <dimension ref="A1:K15"/>
  <sheetViews>
    <sheetView workbookViewId="0">
      <selection activeCell="I3" sqref="I3"/>
    </sheetView>
  </sheetViews>
  <sheetFormatPr defaultRowHeight="15"/>
  <cols>
    <col min="1" max="1" width="9.42578125" bestFit="1" customWidth="1"/>
    <col min="2" max="2" width="11.7109375" bestFit="1" customWidth="1"/>
    <col min="3" max="3" width="11.28515625" bestFit="1" customWidth="1"/>
    <col min="4" max="4" width="36.85546875" bestFit="1" customWidth="1"/>
    <col min="5" max="5" width="11.42578125" customWidth="1"/>
    <col min="6" max="6" width="11" customWidth="1"/>
    <col min="7" max="7" width="35.5703125" customWidth="1"/>
    <col min="9" max="9" width="5.5703125" customWidth="1"/>
    <col min="10" max="10" width="10.28515625" customWidth="1"/>
    <col min="11" max="11" width="11.140625" customWidth="1"/>
  </cols>
  <sheetData>
    <row r="1" spans="1:11" ht="23.25">
      <c r="A1" s="48" t="s">
        <v>495</v>
      </c>
      <c r="B1" s="48"/>
      <c r="C1" s="48"/>
      <c r="D1" s="48"/>
      <c r="E1" s="48"/>
      <c r="F1" s="48"/>
      <c r="G1" s="48"/>
    </row>
    <row r="2" spans="1:11" ht="19.5" thickBot="1">
      <c r="B2" s="50" t="s">
        <v>448</v>
      </c>
      <c r="C2" s="51"/>
      <c r="D2" s="51"/>
      <c r="E2" s="50" t="s">
        <v>449</v>
      </c>
      <c r="F2" s="51"/>
      <c r="G2" s="51"/>
    </row>
    <row r="3" spans="1:11" ht="15.75">
      <c r="A3" t="s">
        <v>450</v>
      </c>
      <c r="B3" t="s">
        <v>475</v>
      </c>
      <c r="C3" t="s">
        <v>476</v>
      </c>
      <c r="D3" t="s">
        <v>478</v>
      </c>
      <c r="E3" t="s">
        <v>477</v>
      </c>
      <c r="F3" t="s">
        <v>479</v>
      </c>
      <c r="G3" t="s">
        <v>480</v>
      </c>
      <c r="I3" s="40"/>
      <c r="J3" s="52" t="s">
        <v>496</v>
      </c>
      <c r="K3" s="53"/>
    </row>
    <row r="4" spans="1:11">
      <c r="A4" s="27">
        <v>45017</v>
      </c>
      <c r="B4" s="28">
        <v>3263.4</v>
      </c>
      <c r="C4" s="28">
        <v>3089.6</v>
      </c>
      <c r="D4" s="29" t="s">
        <v>451</v>
      </c>
      <c r="E4" s="28">
        <v>3263.2</v>
      </c>
      <c r="F4" s="28">
        <v>3088.7</v>
      </c>
      <c r="G4" s="29" t="s">
        <v>452</v>
      </c>
      <c r="I4" s="41"/>
      <c r="J4" s="38" t="s">
        <v>497</v>
      </c>
      <c r="K4" s="42" t="s">
        <v>498</v>
      </c>
    </row>
    <row r="5" spans="1:11">
      <c r="A5" s="27">
        <v>45047</v>
      </c>
      <c r="B5" s="28">
        <v>3328.9</v>
      </c>
      <c r="C5" s="28">
        <v>3179.9</v>
      </c>
      <c r="D5" s="29" t="s">
        <v>453</v>
      </c>
      <c r="E5" s="28">
        <v>3329</v>
      </c>
      <c r="F5" s="28">
        <v>3180.3</v>
      </c>
      <c r="G5" s="29" t="s">
        <v>454</v>
      </c>
      <c r="I5" s="43" t="s">
        <v>448</v>
      </c>
      <c r="J5" s="39">
        <f>AVERAGE(Table6[High (Rs.)])</f>
        <v>3655.2333333333336</v>
      </c>
      <c r="K5" s="44">
        <f>AVERAGE(Table6[Low (Rs.)])</f>
        <v>3415.1166666666668</v>
      </c>
    </row>
    <row r="6" spans="1:11" ht="15.75" thickBot="1">
      <c r="A6" s="27">
        <v>45078</v>
      </c>
      <c r="B6" s="28">
        <v>3324</v>
      </c>
      <c r="C6" s="28">
        <v>3174.9</v>
      </c>
      <c r="D6" s="29" t="s">
        <v>455</v>
      </c>
      <c r="E6" s="28">
        <v>3323.3</v>
      </c>
      <c r="F6" s="28">
        <v>3175.3</v>
      </c>
      <c r="G6" s="29" t="s">
        <v>456</v>
      </c>
      <c r="I6" s="45" t="s">
        <v>449</v>
      </c>
      <c r="J6" s="46">
        <f>AVERAGE(Table6[High (Rs.)2])</f>
        <v>3654.5166666666664</v>
      </c>
      <c r="K6" s="47">
        <f>AVERAGE(Table6[Low (Rs.)3])</f>
        <v>3414.6583333333328</v>
      </c>
    </row>
    <row r="7" spans="1:11">
      <c r="A7" s="27">
        <v>45108</v>
      </c>
      <c r="B7" s="28">
        <v>3514.7</v>
      </c>
      <c r="C7" s="28">
        <v>3259.9</v>
      </c>
      <c r="D7" s="29" t="s">
        <v>457</v>
      </c>
      <c r="E7" s="28">
        <v>3512</v>
      </c>
      <c r="F7" s="28">
        <v>3260.2</v>
      </c>
      <c r="G7" s="29" t="s">
        <v>458</v>
      </c>
    </row>
    <row r="8" spans="1:11">
      <c r="A8" s="27">
        <v>45139</v>
      </c>
      <c r="B8" s="28">
        <v>3484.1</v>
      </c>
      <c r="C8" s="28">
        <v>3356.8</v>
      </c>
      <c r="D8" s="29" t="s">
        <v>459</v>
      </c>
      <c r="E8" s="28">
        <v>3483.8</v>
      </c>
      <c r="F8" s="28">
        <v>3357.1</v>
      </c>
      <c r="G8" s="29" t="s">
        <v>460</v>
      </c>
    </row>
    <row r="9" spans="1:11">
      <c r="A9" s="27">
        <v>45170</v>
      </c>
      <c r="B9" s="28">
        <v>3606.2</v>
      </c>
      <c r="C9" s="28">
        <v>3379.2</v>
      </c>
      <c r="D9" s="29" t="s">
        <v>461</v>
      </c>
      <c r="E9" s="28">
        <v>3606.6</v>
      </c>
      <c r="F9" s="28">
        <v>3379.2</v>
      </c>
      <c r="G9" s="29" t="s">
        <v>462</v>
      </c>
    </row>
    <row r="10" spans="1:11">
      <c r="A10" s="27">
        <v>45200</v>
      </c>
      <c r="B10" s="28">
        <v>3638.4</v>
      </c>
      <c r="C10" s="28">
        <v>3336.8</v>
      </c>
      <c r="D10" s="29" t="s">
        <v>463</v>
      </c>
      <c r="E10" s="28">
        <v>3637.3</v>
      </c>
      <c r="F10" s="28">
        <v>3337.8</v>
      </c>
      <c r="G10" s="29" t="s">
        <v>464</v>
      </c>
    </row>
    <row r="11" spans="1:11">
      <c r="A11" s="27">
        <v>45231</v>
      </c>
      <c r="B11" s="28">
        <v>3530.2</v>
      </c>
      <c r="C11" s="28">
        <v>3330.7</v>
      </c>
      <c r="D11" s="29" t="s">
        <v>465</v>
      </c>
      <c r="E11" s="28">
        <v>3529.9</v>
      </c>
      <c r="F11" s="28">
        <v>3331.7</v>
      </c>
      <c r="G11" s="29" t="s">
        <v>466</v>
      </c>
    </row>
    <row r="12" spans="1:11">
      <c r="A12" s="27">
        <v>45261</v>
      </c>
      <c r="B12" s="28">
        <v>3861</v>
      </c>
      <c r="C12" s="28">
        <v>3511.7</v>
      </c>
      <c r="D12" s="29" t="s">
        <v>467</v>
      </c>
      <c r="E12" s="28">
        <v>3860.1</v>
      </c>
      <c r="F12" s="28">
        <v>3509.6</v>
      </c>
      <c r="G12" s="29" t="s">
        <v>468</v>
      </c>
    </row>
    <row r="13" spans="1:11">
      <c r="A13" s="27">
        <v>45292</v>
      </c>
      <c r="B13" s="28">
        <v>3943.1</v>
      </c>
      <c r="C13" s="28">
        <v>3666.8</v>
      </c>
      <c r="D13" s="29" t="s">
        <v>469</v>
      </c>
      <c r="E13" s="28">
        <v>3942.3</v>
      </c>
      <c r="F13" s="28">
        <v>3667</v>
      </c>
      <c r="G13" s="29" t="s">
        <v>470</v>
      </c>
    </row>
    <row r="14" spans="1:11">
      <c r="A14" s="27">
        <v>45323</v>
      </c>
      <c r="B14" s="28">
        <v>4149.5</v>
      </c>
      <c r="C14" s="28">
        <v>3854.2</v>
      </c>
      <c r="D14" s="29" t="s">
        <v>471</v>
      </c>
      <c r="E14" s="28">
        <v>4149.2</v>
      </c>
      <c r="F14" s="28">
        <v>3851.5</v>
      </c>
      <c r="G14" s="29" t="s">
        <v>472</v>
      </c>
    </row>
    <row r="15" spans="1:11">
      <c r="A15" s="27">
        <v>45352</v>
      </c>
      <c r="B15" s="28">
        <v>4219.3</v>
      </c>
      <c r="C15" s="28">
        <v>3840.9</v>
      </c>
      <c r="D15" s="29" t="s">
        <v>473</v>
      </c>
      <c r="E15" s="28">
        <v>4217.5</v>
      </c>
      <c r="F15" s="28">
        <v>3837.5</v>
      </c>
      <c r="G15" s="29" t="s">
        <v>474</v>
      </c>
    </row>
  </sheetData>
  <mergeCells count="4">
    <mergeCell ref="B2:D2"/>
    <mergeCell ref="E2:G2"/>
    <mergeCell ref="A1:G1"/>
    <mergeCell ref="J3:K3"/>
  </mergeCells>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B274E-B38C-4DF9-B8B1-F12306877FB3}">
  <sheetPr codeName="Sheet6"/>
  <dimension ref="A1:N63"/>
  <sheetViews>
    <sheetView workbookViewId="0"/>
  </sheetViews>
  <sheetFormatPr defaultRowHeight="15"/>
  <cols>
    <col min="1" max="1" width="9.85546875" bestFit="1" customWidth="1"/>
    <col min="2" max="2" width="9.28515625" bestFit="1" customWidth="1"/>
    <col min="3" max="3" width="9.42578125" bestFit="1" customWidth="1"/>
    <col min="4" max="4" width="8.7109375" bestFit="1" customWidth="1"/>
    <col min="5" max="5" width="8.5703125" bestFit="1" customWidth="1"/>
    <col min="6" max="6" width="16.140625" bestFit="1" customWidth="1"/>
    <col min="7" max="7" width="8.140625" bestFit="1" customWidth="1"/>
    <col min="8" max="8" width="8.7109375" bestFit="1" customWidth="1"/>
    <col min="9" max="9" width="9.140625" bestFit="1" customWidth="1"/>
    <col min="10" max="10" width="10.28515625" bestFit="1" customWidth="1"/>
    <col min="11" max="11" width="9.85546875" bestFit="1" customWidth="1"/>
    <col min="12" max="12" width="12.28515625" bestFit="1" customWidth="1"/>
    <col min="13" max="13" width="17" bestFit="1" customWidth="1"/>
    <col min="14" max="14" width="16.140625" bestFit="1" customWidth="1"/>
  </cols>
  <sheetData>
    <row r="1" spans="1:14" ht="15.75">
      <c r="A1" s="33" t="s">
        <v>499</v>
      </c>
      <c r="B1" s="33" t="s">
        <v>500</v>
      </c>
      <c r="C1" s="33" t="s">
        <v>501</v>
      </c>
      <c r="D1" s="33" t="s">
        <v>502</v>
      </c>
      <c r="E1" s="33" t="s">
        <v>503</v>
      </c>
      <c r="F1" s="33" t="s">
        <v>504</v>
      </c>
      <c r="G1" s="33" t="s">
        <v>505</v>
      </c>
      <c r="H1" s="33" t="s">
        <v>506</v>
      </c>
      <c r="I1" s="33" t="s">
        <v>507</v>
      </c>
      <c r="J1" s="33" t="s">
        <v>508</v>
      </c>
      <c r="K1" s="33" t="s">
        <v>509</v>
      </c>
      <c r="L1" s="33" t="s">
        <v>510</v>
      </c>
      <c r="M1" s="33" t="s">
        <v>511</v>
      </c>
      <c r="N1" s="33" t="s">
        <v>512</v>
      </c>
    </row>
    <row r="2" spans="1:14">
      <c r="A2" s="32">
        <v>45292</v>
      </c>
      <c r="B2" s="31" t="s">
        <v>513</v>
      </c>
      <c r="C2" s="34">
        <v>3790</v>
      </c>
      <c r="D2" s="34">
        <v>3832</v>
      </c>
      <c r="E2" s="34">
        <v>3773</v>
      </c>
      <c r="F2" s="34">
        <v>3793.4</v>
      </c>
      <c r="G2" s="34">
        <v>3803</v>
      </c>
      <c r="H2" s="34">
        <v>3811.1</v>
      </c>
      <c r="I2" s="34">
        <v>3804.27</v>
      </c>
      <c r="J2" s="34">
        <v>3929</v>
      </c>
      <c r="K2" s="34">
        <v>3070.25</v>
      </c>
      <c r="L2" s="35" t="s">
        <v>692</v>
      </c>
      <c r="M2" s="35" t="s">
        <v>693</v>
      </c>
      <c r="N2" s="36">
        <v>94008</v>
      </c>
    </row>
    <row r="3" spans="1:14">
      <c r="A3" s="32">
        <v>45293</v>
      </c>
      <c r="B3" s="31" t="s">
        <v>513</v>
      </c>
      <c r="C3" s="34">
        <v>3811.1</v>
      </c>
      <c r="D3" s="34">
        <v>3811.1</v>
      </c>
      <c r="E3" s="34">
        <v>3767.25</v>
      </c>
      <c r="F3" s="34">
        <v>3811.1</v>
      </c>
      <c r="G3" s="34">
        <v>3781.15</v>
      </c>
      <c r="H3" s="34">
        <v>3783.2</v>
      </c>
      <c r="I3" s="34">
        <v>3787.05</v>
      </c>
      <c r="J3" s="34">
        <v>3929</v>
      </c>
      <c r="K3" s="34">
        <v>3070.25</v>
      </c>
      <c r="L3" s="35" t="s">
        <v>689</v>
      </c>
      <c r="M3" s="35" t="s">
        <v>690</v>
      </c>
      <c r="N3" s="35" t="s">
        <v>691</v>
      </c>
    </row>
    <row r="4" spans="1:14">
      <c r="A4" s="32">
        <v>45294</v>
      </c>
      <c r="B4" s="31" t="s">
        <v>513</v>
      </c>
      <c r="C4" s="34">
        <v>3767</v>
      </c>
      <c r="D4" s="34">
        <v>3771.85</v>
      </c>
      <c r="E4" s="34">
        <v>3687.05</v>
      </c>
      <c r="F4" s="34">
        <v>3783.2</v>
      </c>
      <c r="G4" s="34">
        <v>3692.6</v>
      </c>
      <c r="H4" s="34">
        <v>3691.75</v>
      </c>
      <c r="I4" s="34">
        <v>3711.76</v>
      </c>
      <c r="J4" s="34">
        <v>3929</v>
      </c>
      <c r="K4" s="34">
        <v>3070.25</v>
      </c>
      <c r="L4" s="35" t="s">
        <v>686</v>
      </c>
      <c r="M4" s="35" t="s">
        <v>687</v>
      </c>
      <c r="N4" s="35" t="s">
        <v>688</v>
      </c>
    </row>
    <row r="5" spans="1:14">
      <c r="A5" s="32">
        <v>45295</v>
      </c>
      <c r="B5" s="31" t="s">
        <v>513</v>
      </c>
      <c r="C5" s="34">
        <v>3701.75</v>
      </c>
      <c r="D5" s="34">
        <v>3719</v>
      </c>
      <c r="E5" s="34">
        <v>3651</v>
      </c>
      <c r="F5" s="34">
        <v>3691.75</v>
      </c>
      <c r="G5" s="34">
        <v>3668.6</v>
      </c>
      <c r="H5" s="34">
        <v>3666.8</v>
      </c>
      <c r="I5" s="34">
        <v>3668.32</v>
      </c>
      <c r="J5" s="34">
        <v>3929</v>
      </c>
      <c r="K5" s="34">
        <v>3070.25</v>
      </c>
      <c r="L5" s="35" t="s">
        <v>683</v>
      </c>
      <c r="M5" s="35" t="s">
        <v>684</v>
      </c>
      <c r="N5" s="35" t="s">
        <v>685</v>
      </c>
    </row>
    <row r="6" spans="1:14">
      <c r="A6" s="32">
        <v>45296</v>
      </c>
      <c r="B6" s="31" t="s">
        <v>513</v>
      </c>
      <c r="C6" s="34">
        <v>3675</v>
      </c>
      <c r="D6" s="34">
        <v>3747.75</v>
      </c>
      <c r="E6" s="34">
        <v>3674.85</v>
      </c>
      <c r="F6" s="34">
        <v>3666.8</v>
      </c>
      <c r="G6" s="34">
        <v>3738.6</v>
      </c>
      <c r="H6" s="34">
        <v>3737.9</v>
      </c>
      <c r="I6" s="34">
        <v>3721.7</v>
      </c>
      <c r="J6" s="34">
        <v>3929</v>
      </c>
      <c r="K6" s="34">
        <v>3070.25</v>
      </c>
      <c r="L6" s="35" t="s">
        <v>680</v>
      </c>
      <c r="M6" s="35" t="s">
        <v>681</v>
      </c>
      <c r="N6" s="35" t="s">
        <v>682</v>
      </c>
    </row>
    <row r="7" spans="1:14">
      <c r="A7" s="32">
        <v>45299</v>
      </c>
      <c r="B7" s="31" t="s">
        <v>513</v>
      </c>
      <c r="C7" s="34">
        <v>3737.9</v>
      </c>
      <c r="D7" s="34">
        <v>3739.75</v>
      </c>
      <c r="E7" s="34">
        <v>3672.4</v>
      </c>
      <c r="F7" s="34">
        <v>3737.9</v>
      </c>
      <c r="G7" s="34">
        <v>3680.85</v>
      </c>
      <c r="H7" s="34">
        <v>3678.3</v>
      </c>
      <c r="I7" s="34">
        <v>3696.43</v>
      </c>
      <c r="J7" s="34">
        <v>3929</v>
      </c>
      <c r="K7" s="34">
        <v>3070.25</v>
      </c>
      <c r="L7" s="35" t="s">
        <v>677</v>
      </c>
      <c r="M7" s="35" t="s">
        <v>678</v>
      </c>
      <c r="N7" s="35" t="s">
        <v>679</v>
      </c>
    </row>
    <row r="8" spans="1:14">
      <c r="A8" s="32">
        <v>45300</v>
      </c>
      <c r="B8" s="31" t="s">
        <v>513</v>
      </c>
      <c r="C8" s="34">
        <v>3709.95</v>
      </c>
      <c r="D8" s="34">
        <v>3752.35</v>
      </c>
      <c r="E8" s="34">
        <v>3682.75</v>
      </c>
      <c r="F8" s="34">
        <v>3678.3</v>
      </c>
      <c r="G8" s="34">
        <v>3696</v>
      </c>
      <c r="H8" s="34">
        <v>3689.9</v>
      </c>
      <c r="I8" s="34">
        <v>3716.16</v>
      </c>
      <c r="J8" s="34">
        <v>3929</v>
      </c>
      <c r="K8" s="34">
        <v>3070.25</v>
      </c>
      <c r="L8" s="35" t="s">
        <v>674</v>
      </c>
      <c r="M8" s="35" t="s">
        <v>675</v>
      </c>
      <c r="N8" s="35" t="s">
        <v>676</v>
      </c>
    </row>
    <row r="9" spans="1:14">
      <c r="A9" s="32">
        <v>45301</v>
      </c>
      <c r="B9" s="31" t="s">
        <v>513</v>
      </c>
      <c r="C9" s="34">
        <v>3690</v>
      </c>
      <c r="D9" s="34">
        <v>3729.25</v>
      </c>
      <c r="E9" s="34">
        <v>3688</v>
      </c>
      <c r="F9" s="34">
        <v>3689.9</v>
      </c>
      <c r="G9" s="34">
        <v>3707.05</v>
      </c>
      <c r="H9" s="34">
        <v>3713.05</v>
      </c>
      <c r="I9" s="34">
        <v>3706.94</v>
      </c>
      <c r="J9" s="34">
        <v>3929</v>
      </c>
      <c r="K9" s="34">
        <v>3070.25</v>
      </c>
      <c r="L9" s="35" t="s">
        <v>671</v>
      </c>
      <c r="M9" s="35" t="s">
        <v>672</v>
      </c>
      <c r="N9" s="35" t="s">
        <v>673</v>
      </c>
    </row>
    <row r="10" spans="1:14">
      <c r="A10" s="32">
        <v>45302</v>
      </c>
      <c r="B10" s="31" t="s">
        <v>513</v>
      </c>
      <c r="C10" s="34">
        <v>3724</v>
      </c>
      <c r="D10" s="34">
        <v>3773</v>
      </c>
      <c r="E10" s="34">
        <v>3707</v>
      </c>
      <c r="F10" s="34">
        <v>3713.05</v>
      </c>
      <c r="G10" s="34">
        <v>3726.7</v>
      </c>
      <c r="H10" s="34">
        <v>3735.55</v>
      </c>
      <c r="I10" s="34">
        <v>3738.42</v>
      </c>
      <c r="J10" s="34">
        <v>3929</v>
      </c>
      <c r="K10" s="34">
        <v>3070.25</v>
      </c>
      <c r="L10" s="35" t="s">
        <v>668</v>
      </c>
      <c r="M10" s="35" t="s">
        <v>669</v>
      </c>
      <c r="N10" s="35" t="s">
        <v>670</v>
      </c>
    </row>
    <row r="11" spans="1:14">
      <c r="A11" s="32">
        <v>45303</v>
      </c>
      <c r="B11" s="31" t="s">
        <v>513</v>
      </c>
      <c r="C11" s="34">
        <v>3848</v>
      </c>
      <c r="D11" s="34">
        <v>3905.25</v>
      </c>
      <c r="E11" s="34">
        <v>3821.6</v>
      </c>
      <c r="F11" s="34">
        <v>3735.55</v>
      </c>
      <c r="G11" s="34">
        <v>3881.9</v>
      </c>
      <c r="H11" s="34">
        <v>3882.8</v>
      </c>
      <c r="I11" s="34">
        <v>3873.63</v>
      </c>
      <c r="J11" s="34">
        <v>3929</v>
      </c>
      <c r="K11" s="34">
        <v>3070.25</v>
      </c>
      <c r="L11" s="35" t="s">
        <v>665</v>
      </c>
      <c r="M11" s="35" t="s">
        <v>666</v>
      </c>
      <c r="N11" s="35" t="s">
        <v>667</v>
      </c>
    </row>
    <row r="12" spans="1:14">
      <c r="A12" s="32">
        <v>45306</v>
      </c>
      <c r="B12" s="31" t="s">
        <v>513</v>
      </c>
      <c r="C12" s="34">
        <v>3960</v>
      </c>
      <c r="D12" s="34">
        <v>3965</v>
      </c>
      <c r="E12" s="34">
        <v>3885</v>
      </c>
      <c r="F12" s="34">
        <v>3882.8</v>
      </c>
      <c r="G12" s="34">
        <v>3902</v>
      </c>
      <c r="H12" s="34">
        <v>3903.8</v>
      </c>
      <c r="I12" s="34">
        <v>3922.67</v>
      </c>
      <c r="J12" s="34">
        <v>3965</v>
      </c>
      <c r="K12" s="34">
        <v>3070.25</v>
      </c>
      <c r="L12" s="35" t="s">
        <v>662</v>
      </c>
      <c r="M12" s="35" t="s">
        <v>663</v>
      </c>
      <c r="N12" s="35" t="s">
        <v>664</v>
      </c>
    </row>
    <row r="13" spans="1:14">
      <c r="A13" s="32">
        <v>45307</v>
      </c>
      <c r="B13" s="31" t="s">
        <v>513</v>
      </c>
      <c r="C13" s="34">
        <v>3899</v>
      </c>
      <c r="D13" s="34">
        <v>3899</v>
      </c>
      <c r="E13" s="34">
        <v>3855.55</v>
      </c>
      <c r="F13" s="34">
        <v>3903.8</v>
      </c>
      <c r="G13" s="34">
        <v>3861.05</v>
      </c>
      <c r="H13" s="34">
        <v>3861.3</v>
      </c>
      <c r="I13" s="34">
        <v>3873.57</v>
      </c>
      <c r="J13" s="34">
        <v>3965</v>
      </c>
      <c r="K13" s="34">
        <v>3070.25</v>
      </c>
      <c r="L13" s="35" t="s">
        <v>659</v>
      </c>
      <c r="M13" s="35" t="s">
        <v>660</v>
      </c>
      <c r="N13" s="35" t="s">
        <v>661</v>
      </c>
    </row>
    <row r="14" spans="1:14">
      <c r="A14" s="32">
        <v>45308</v>
      </c>
      <c r="B14" s="31" t="s">
        <v>513</v>
      </c>
      <c r="C14" s="34">
        <v>3819</v>
      </c>
      <c r="D14" s="34">
        <v>3909.95</v>
      </c>
      <c r="E14" s="34">
        <v>3812.55</v>
      </c>
      <c r="F14" s="34">
        <v>3861.3</v>
      </c>
      <c r="G14" s="34">
        <v>3880</v>
      </c>
      <c r="H14" s="34">
        <v>3884.6</v>
      </c>
      <c r="I14" s="34">
        <v>3882.57</v>
      </c>
      <c r="J14" s="34">
        <v>3965</v>
      </c>
      <c r="K14" s="34">
        <v>3070.25</v>
      </c>
      <c r="L14" s="35" t="s">
        <v>656</v>
      </c>
      <c r="M14" s="35" t="s">
        <v>657</v>
      </c>
      <c r="N14" s="35" t="s">
        <v>658</v>
      </c>
    </row>
    <row r="15" spans="1:14">
      <c r="A15" s="32">
        <v>45309</v>
      </c>
      <c r="B15" s="31" t="s">
        <v>513</v>
      </c>
      <c r="C15" s="34">
        <v>3898</v>
      </c>
      <c r="D15" s="34">
        <v>3908.8</v>
      </c>
      <c r="E15" s="34">
        <v>3862</v>
      </c>
      <c r="F15" s="34">
        <v>3884.6</v>
      </c>
      <c r="G15" s="34">
        <v>3902</v>
      </c>
      <c r="H15" s="34">
        <v>3902.6</v>
      </c>
      <c r="I15" s="34">
        <v>3887.98</v>
      </c>
      <c r="J15" s="34">
        <v>3965</v>
      </c>
      <c r="K15" s="34">
        <v>3070.25</v>
      </c>
      <c r="L15" s="35" t="s">
        <v>653</v>
      </c>
      <c r="M15" s="35" t="s">
        <v>654</v>
      </c>
      <c r="N15" s="35" t="s">
        <v>655</v>
      </c>
    </row>
    <row r="16" spans="1:14">
      <c r="A16" s="32">
        <v>45310</v>
      </c>
      <c r="B16" s="31" t="s">
        <v>513</v>
      </c>
      <c r="C16" s="34">
        <v>3945</v>
      </c>
      <c r="D16" s="34">
        <v>3963.55</v>
      </c>
      <c r="E16" s="34">
        <v>3915.05</v>
      </c>
      <c r="F16" s="34">
        <v>3902.6</v>
      </c>
      <c r="G16" s="34">
        <v>3947</v>
      </c>
      <c r="H16" s="34">
        <v>3943.05</v>
      </c>
      <c r="I16" s="34">
        <v>3942.73</v>
      </c>
      <c r="J16" s="34">
        <v>3965</v>
      </c>
      <c r="K16" s="34">
        <v>3070.25</v>
      </c>
      <c r="L16" s="35" t="s">
        <v>650</v>
      </c>
      <c r="M16" s="35" t="s">
        <v>651</v>
      </c>
      <c r="N16" s="35" t="s">
        <v>652</v>
      </c>
    </row>
    <row r="17" spans="1:14">
      <c r="A17" s="32">
        <v>45311</v>
      </c>
      <c r="B17" s="31" t="s">
        <v>513</v>
      </c>
      <c r="C17" s="34">
        <v>3948</v>
      </c>
      <c r="D17" s="34">
        <v>3955.65</v>
      </c>
      <c r="E17" s="34">
        <v>3855.55</v>
      </c>
      <c r="F17" s="34">
        <v>3943.05</v>
      </c>
      <c r="G17" s="34">
        <v>3859.3</v>
      </c>
      <c r="H17" s="34">
        <v>3860.65</v>
      </c>
      <c r="I17" s="34">
        <v>3896.81</v>
      </c>
      <c r="J17" s="34">
        <v>3965</v>
      </c>
      <c r="K17" s="34">
        <v>3070.25</v>
      </c>
      <c r="L17" s="35" t="s">
        <v>648</v>
      </c>
      <c r="M17" s="35" t="s">
        <v>649</v>
      </c>
      <c r="N17" s="36">
        <v>47373</v>
      </c>
    </row>
    <row r="18" spans="1:14">
      <c r="A18" s="32">
        <v>45314</v>
      </c>
      <c r="B18" s="31" t="s">
        <v>513</v>
      </c>
      <c r="C18" s="34">
        <v>3900</v>
      </c>
      <c r="D18" s="34">
        <v>3933.9</v>
      </c>
      <c r="E18" s="34">
        <v>3842.75</v>
      </c>
      <c r="F18" s="34">
        <v>3860.65</v>
      </c>
      <c r="G18" s="34">
        <v>3860.05</v>
      </c>
      <c r="H18" s="34">
        <v>3858.25</v>
      </c>
      <c r="I18" s="34">
        <v>3881.8</v>
      </c>
      <c r="J18" s="34">
        <v>3965</v>
      </c>
      <c r="K18" s="34">
        <v>3070.25</v>
      </c>
      <c r="L18" s="35" t="s">
        <v>645</v>
      </c>
      <c r="M18" s="35" t="s">
        <v>646</v>
      </c>
      <c r="N18" s="35" t="s">
        <v>647</v>
      </c>
    </row>
    <row r="19" spans="1:14">
      <c r="A19" s="32">
        <v>45315</v>
      </c>
      <c r="B19" s="31" t="s">
        <v>513</v>
      </c>
      <c r="C19" s="34">
        <v>3880</v>
      </c>
      <c r="D19" s="34">
        <v>3883.65</v>
      </c>
      <c r="E19" s="34">
        <v>3805.6</v>
      </c>
      <c r="F19" s="34">
        <v>3858.25</v>
      </c>
      <c r="G19" s="34">
        <v>3859.4</v>
      </c>
      <c r="H19" s="34">
        <v>3841.8</v>
      </c>
      <c r="I19" s="34">
        <v>3842.01</v>
      </c>
      <c r="J19" s="34">
        <v>3965</v>
      </c>
      <c r="K19" s="34">
        <v>3070.25</v>
      </c>
      <c r="L19" s="35" t="s">
        <v>642</v>
      </c>
      <c r="M19" s="35" t="s">
        <v>643</v>
      </c>
      <c r="N19" s="35" t="s">
        <v>644</v>
      </c>
    </row>
    <row r="20" spans="1:14">
      <c r="A20" s="32">
        <v>45316</v>
      </c>
      <c r="B20" s="31" t="s">
        <v>513</v>
      </c>
      <c r="C20" s="34">
        <v>3839.9</v>
      </c>
      <c r="D20" s="34">
        <v>3861</v>
      </c>
      <c r="E20" s="34">
        <v>3778.7</v>
      </c>
      <c r="F20" s="34">
        <v>3841.8</v>
      </c>
      <c r="G20" s="34">
        <v>3807</v>
      </c>
      <c r="H20" s="34">
        <v>3810.3</v>
      </c>
      <c r="I20" s="34">
        <v>3803.09</v>
      </c>
      <c r="J20" s="34">
        <v>3965</v>
      </c>
      <c r="K20" s="34">
        <v>3070.25</v>
      </c>
      <c r="L20" s="35" t="s">
        <v>639</v>
      </c>
      <c r="M20" s="35" t="s">
        <v>640</v>
      </c>
      <c r="N20" s="35" t="s">
        <v>641</v>
      </c>
    </row>
    <row r="21" spans="1:14">
      <c r="A21" s="32">
        <v>45320</v>
      </c>
      <c r="B21" s="31" t="s">
        <v>513</v>
      </c>
      <c r="C21" s="34">
        <v>3800.8</v>
      </c>
      <c r="D21" s="34">
        <v>3820</v>
      </c>
      <c r="E21" s="34">
        <v>3780.85</v>
      </c>
      <c r="F21" s="34">
        <v>3810.3</v>
      </c>
      <c r="G21" s="34">
        <v>3807</v>
      </c>
      <c r="H21" s="34">
        <v>3801</v>
      </c>
      <c r="I21" s="34">
        <v>3798.49</v>
      </c>
      <c r="J21" s="34">
        <v>3965</v>
      </c>
      <c r="K21" s="34">
        <v>3070.25</v>
      </c>
      <c r="L21" s="35" t="s">
        <v>636</v>
      </c>
      <c r="M21" s="35" t="s">
        <v>637</v>
      </c>
      <c r="N21" s="35" t="s">
        <v>638</v>
      </c>
    </row>
    <row r="22" spans="1:14">
      <c r="A22" s="32">
        <v>45321</v>
      </c>
      <c r="B22" s="31" t="s">
        <v>513</v>
      </c>
      <c r="C22" s="34">
        <v>3807.45</v>
      </c>
      <c r="D22" s="34">
        <v>3847.8</v>
      </c>
      <c r="E22" s="34">
        <v>3787</v>
      </c>
      <c r="F22" s="34">
        <v>3801</v>
      </c>
      <c r="G22" s="34">
        <v>3801.4</v>
      </c>
      <c r="H22" s="34">
        <v>3800.55</v>
      </c>
      <c r="I22" s="34">
        <v>3816.76</v>
      </c>
      <c r="J22" s="34">
        <v>3965</v>
      </c>
      <c r="K22" s="34">
        <v>3070.25</v>
      </c>
      <c r="L22" s="35" t="s">
        <v>634</v>
      </c>
      <c r="M22" s="35" t="s">
        <v>635</v>
      </c>
      <c r="N22" s="36">
        <v>96931</v>
      </c>
    </row>
    <row r="23" spans="1:14">
      <c r="A23" s="32">
        <v>45322</v>
      </c>
      <c r="B23" s="31" t="s">
        <v>513</v>
      </c>
      <c r="C23" s="34">
        <v>3811.2</v>
      </c>
      <c r="D23" s="34">
        <v>3834</v>
      </c>
      <c r="E23" s="34">
        <v>3796.45</v>
      </c>
      <c r="F23" s="34">
        <v>3800.55</v>
      </c>
      <c r="G23" s="34">
        <v>3804</v>
      </c>
      <c r="H23" s="34">
        <v>3815.95</v>
      </c>
      <c r="I23" s="34">
        <v>3814.91</v>
      </c>
      <c r="J23" s="34">
        <v>3965</v>
      </c>
      <c r="K23" s="34">
        <v>3070.25</v>
      </c>
      <c r="L23" s="35" t="s">
        <v>631</v>
      </c>
      <c r="M23" s="35" t="s">
        <v>632</v>
      </c>
      <c r="N23" s="35" t="s">
        <v>633</v>
      </c>
    </row>
    <row r="24" spans="1:14">
      <c r="A24" s="32">
        <v>45323</v>
      </c>
      <c r="B24" s="31" t="s">
        <v>513</v>
      </c>
      <c r="C24" s="34">
        <v>3820</v>
      </c>
      <c r="D24" s="34">
        <v>3904.9</v>
      </c>
      <c r="E24" s="34">
        <v>3805.05</v>
      </c>
      <c r="F24" s="34">
        <v>3815.95</v>
      </c>
      <c r="G24" s="34">
        <v>3842.65</v>
      </c>
      <c r="H24" s="34">
        <v>3854.15</v>
      </c>
      <c r="I24" s="34">
        <v>3863.88</v>
      </c>
      <c r="J24" s="34">
        <v>3965</v>
      </c>
      <c r="K24" s="34">
        <v>3070.25</v>
      </c>
      <c r="L24" s="35" t="s">
        <v>628</v>
      </c>
      <c r="M24" s="35" t="s">
        <v>629</v>
      </c>
      <c r="N24" s="35" t="s">
        <v>630</v>
      </c>
    </row>
    <row r="25" spans="1:14">
      <c r="A25" s="32">
        <v>45324</v>
      </c>
      <c r="B25" s="31" t="s">
        <v>513</v>
      </c>
      <c r="C25" s="34">
        <v>3875.05</v>
      </c>
      <c r="D25" s="34">
        <v>3984.4</v>
      </c>
      <c r="E25" s="34">
        <v>3872</v>
      </c>
      <c r="F25" s="34">
        <v>3854.15</v>
      </c>
      <c r="G25" s="34">
        <v>3959.2</v>
      </c>
      <c r="H25" s="34">
        <v>3966.3</v>
      </c>
      <c r="I25" s="34">
        <v>3944.48</v>
      </c>
      <c r="J25" s="34">
        <v>3984.4</v>
      </c>
      <c r="K25" s="34">
        <v>3070.25</v>
      </c>
      <c r="L25" s="35" t="s">
        <v>625</v>
      </c>
      <c r="M25" s="35" t="s">
        <v>626</v>
      </c>
      <c r="N25" s="35" t="s">
        <v>627</v>
      </c>
    </row>
    <row r="26" spans="1:14">
      <c r="A26" s="32">
        <v>45327</v>
      </c>
      <c r="B26" s="31" t="s">
        <v>513</v>
      </c>
      <c r="C26" s="34">
        <v>3983</v>
      </c>
      <c r="D26" s="34">
        <v>4022</v>
      </c>
      <c r="E26" s="34">
        <v>3962.1</v>
      </c>
      <c r="F26" s="34">
        <v>3966.3</v>
      </c>
      <c r="G26" s="34">
        <v>3966.95</v>
      </c>
      <c r="H26" s="34">
        <v>3973.3</v>
      </c>
      <c r="I26" s="34">
        <v>3996.07</v>
      </c>
      <c r="J26" s="34">
        <v>4022</v>
      </c>
      <c r="K26" s="34">
        <v>3070.25</v>
      </c>
      <c r="L26" s="35" t="s">
        <v>622</v>
      </c>
      <c r="M26" s="35" t="s">
        <v>623</v>
      </c>
      <c r="N26" s="35" t="s">
        <v>624</v>
      </c>
    </row>
    <row r="27" spans="1:14">
      <c r="A27" s="32">
        <v>45328</v>
      </c>
      <c r="B27" s="31" t="s">
        <v>513</v>
      </c>
      <c r="C27" s="34">
        <v>3997</v>
      </c>
      <c r="D27" s="34">
        <v>4149.8999999999996</v>
      </c>
      <c r="E27" s="34">
        <v>3990</v>
      </c>
      <c r="F27" s="34">
        <v>3973.3</v>
      </c>
      <c r="G27" s="34">
        <v>4129.3500000000004</v>
      </c>
      <c r="H27" s="34">
        <v>4136</v>
      </c>
      <c r="I27" s="34">
        <v>4106.33</v>
      </c>
      <c r="J27" s="34">
        <v>4149.8999999999996</v>
      </c>
      <c r="K27" s="34">
        <v>3070.25</v>
      </c>
      <c r="L27" s="35" t="s">
        <v>619</v>
      </c>
      <c r="M27" s="35" t="s">
        <v>620</v>
      </c>
      <c r="N27" s="35" t="s">
        <v>621</v>
      </c>
    </row>
    <row r="28" spans="1:14">
      <c r="A28" s="32">
        <v>45329</v>
      </c>
      <c r="B28" s="31" t="s">
        <v>513</v>
      </c>
      <c r="C28" s="34">
        <v>4153</v>
      </c>
      <c r="D28" s="34">
        <v>4155</v>
      </c>
      <c r="E28" s="34">
        <v>4073.95</v>
      </c>
      <c r="F28" s="34">
        <v>4136</v>
      </c>
      <c r="G28" s="34">
        <v>4085</v>
      </c>
      <c r="H28" s="34">
        <v>4083.4</v>
      </c>
      <c r="I28" s="34">
        <v>4115.33</v>
      </c>
      <c r="J28" s="34">
        <v>4155</v>
      </c>
      <c r="K28" s="34">
        <v>3070.25</v>
      </c>
      <c r="L28" s="35" t="s">
        <v>616</v>
      </c>
      <c r="M28" s="35" t="s">
        <v>617</v>
      </c>
      <c r="N28" s="35" t="s">
        <v>618</v>
      </c>
    </row>
    <row r="29" spans="1:14">
      <c r="A29" s="32">
        <v>45330</v>
      </c>
      <c r="B29" s="31" t="s">
        <v>513</v>
      </c>
      <c r="C29" s="34">
        <v>4090</v>
      </c>
      <c r="D29" s="34">
        <v>4158</v>
      </c>
      <c r="E29" s="34">
        <v>4086.05</v>
      </c>
      <c r="F29" s="34">
        <v>4083.4</v>
      </c>
      <c r="G29" s="34">
        <v>4137.8500000000004</v>
      </c>
      <c r="H29" s="34">
        <v>4134.1000000000004</v>
      </c>
      <c r="I29" s="34">
        <v>4122.74</v>
      </c>
      <c r="J29" s="34">
        <v>4158</v>
      </c>
      <c r="K29" s="34">
        <v>3070.25</v>
      </c>
      <c r="L29" s="35" t="s">
        <v>613</v>
      </c>
      <c r="M29" s="35" t="s">
        <v>614</v>
      </c>
      <c r="N29" s="35" t="s">
        <v>615</v>
      </c>
    </row>
    <row r="30" spans="1:14">
      <c r="A30" s="32">
        <v>45331</v>
      </c>
      <c r="B30" s="31" t="s">
        <v>513</v>
      </c>
      <c r="C30" s="34">
        <v>4136.55</v>
      </c>
      <c r="D30" s="34">
        <v>4184.75</v>
      </c>
      <c r="E30" s="34">
        <v>4100</v>
      </c>
      <c r="F30" s="34">
        <v>4134.1000000000004</v>
      </c>
      <c r="G30" s="34">
        <v>4132</v>
      </c>
      <c r="H30" s="34">
        <v>4133.7</v>
      </c>
      <c r="I30" s="34">
        <v>4135.5</v>
      </c>
      <c r="J30" s="34">
        <v>4184.75</v>
      </c>
      <c r="K30" s="34">
        <v>3070.25</v>
      </c>
      <c r="L30" s="35" t="s">
        <v>610</v>
      </c>
      <c r="M30" s="35" t="s">
        <v>611</v>
      </c>
      <c r="N30" s="35" t="s">
        <v>612</v>
      </c>
    </row>
    <row r="31" spans="1:14">
      <c r="A31" s="32">
        <v>45334</v>
      </c>
      <c r="B31" s="31" t="s">
        <v>513</v>
      </c>
      <c r="C31" s="34">
        <v>4130</v>
      </c>
      <c r="D31" s="34">
        <v>4159.6000000000004</v>
      </c>
      <c r="E31" s="34">
        <v>4105.55</v>
      </c>
      <c r="F31" s="34">
        <v>4133.7</v>
      </c>
      <c r="G31" s="34">
        <v>4119</v>
      </c>
      <c r="H31" s="34">
        <v>4120.7</v>
      </c>
      <c r="I31" s="34">
        <v>4128.1000000000004</v>
      </c>
      <c r="J31" s="34">
        <v>4184.75</v>
      </c>
      <c r="K31" s="34">
        <v>3070.25</v>
      </c>
      <c r="L31" s="35" t="s">
        <v>607</v>
      </c>
      <c r="M31" s="35" t="s">
        <v>608</v>
      </c>
      <c r="N31" s="35" t="s">
        <v>609</v>
      </c>
    </row>
    <row r="32" spans="1:14">
      <c r="A32" s="32">
        <v>45335</v>
      </c>
      <c r="B32" s="31" t="s">
        <v>513</v>
      </c>
      <c r="C32" s="34">
        <v>4125.45</v>
      </c>
      <c r="D32" s="34">
        <v>4170</v>
      </c>
      <c r="E32" s="34">
        <v>4081.5</v>
      </c>
      <c r="F32" s="34">
        <v>4120.7</v>
      </c>
      <c r="G32" s="34">
        <v>4145</v>
      </c>
      <c r="H32" s="34">
        <v>4149.5</v>
      </c>
      <c r="I32" s="34">
        <v>4130.03</v>
      </c>
      <c r="J32" s="34">
        <v>4184.75</v>
      </c>
      <c r="K32" s="34">
        <v>3070.25</v>
      </c>
      <c r="L32" s="35" t="s">
        <v>604</v>
      </c>
      <c r="M32" s="35" t="s">
        <v>605</v>
      </c>
      <c r="N32" s="35" t="s">
        <v>606</v>
      </c>
    </row>
    <row r="33" spans="1:14">
      <c r="A33" s="32">
        <v>45336</v>
      </c>
      <c r="B33" s="31" t="s">
        <v>513</v>
      </c>
      <c r="C33" s="34">
        <v>4107</v>
      </c>
      <c r="D33" s="34">
        <v>4114.8999999999996</v>
      </c>
      <c r="E33" s="34">
        <v>4049.5</v>
      </c>
      <c r="F33" s="34">
        <v>4149.5</v>
      </c>
      <c r="G33" s="34">
        <v>4106</v>
      </c>
      <c r="H33" s="34">
        <v>4100.1000000000004</v>
      </c>
      <c r="I33" s="34">
        <v>4092.1</v>
      </c>
      <c r="J33" s="34">
        <v>4184.75</v>
      </c>
      <c r="K33" s="34">
        <v>3070.25</v>
      </c>
      <c r="L33" s="35" t="s">
        <v>601</v>
      </c>
      <c r="M33" s="35" t="s">
        <v>602</v>
      </c>
      <c r="N33" s="35" t="s">
        <v>603</v>
      </c>
    </row>
    <row r="34" spans="1:14">
      <c r="A34" s="32">
        <v>45337</v>
      </c>
      <c r="B34" s="31" t="s">
        <v>513</v>
      </c>
      <c r="C34" s="34">
        <v>4128</v>
      </c>
      <c r="D34" s="34">
        <v>4146.3</v>
      </c>
      <c r="E34" s="34">
        <v>4083</v>
      </c>
      <c r="F34" s="34">
        <v>4100.1000000000004</v>
      </c>
      <c r="G34" s="34">
        <v>4106</v>
      </c>
      <c r="H34" s="34">
        <v>4103.2</v>
      </c>
      <c r="I34" s="34">
        <v>4107.34</v>
      </c>
      <c r="J34" s="34">
        <v>4184.75</v>
      </c>
      <c r="K34" s="34">
        <v>3070.25</v>
      </c>
      <c r="L34" s="35" t="s">
        <v>598</v>
      </c>
      <c r="M34" s="35" t="s">
        <v>599</v>
      </c>
      <c r="N34" s="35" t="s">
        <v>600</v>
      </c>
    </row>
    <row r="35" spans="1:14">
      <c r="A35" s="32">
        <v>45338</v>
      </c>
      <c r="B35" s="31" t="s">
        <v>513</v>
      </c>
      <c r="C35" s="34">
        <v>4113.25</v>
      </c>
      <c r="D35" s="34">
        <v>4147.95</v>
      </c>
      <c r="E35" s="34">
        <v>4100.1000000000004</v>
      </c>
      <c r="F35" s="34">
        <v>4103.2</v>
      </c>
      <c r="G35" s="34">
        <v>4122.3</v>
      </c>
      <c r="H35" s="34">
        <v>4128.3</v>
      </c>
      <c r="I35" s="34">
        <v>4124.07</v>
      </c>
      <c r="J35" s="34">
        <v>4184.75</v>
      </c>
      <c r="K35" s="34">
        <v>3070.25</v>
      </c>
      <c r="L35" s="35" t="s">
        <v>595</v>
      </c>
      <c r="M35" s="35" t="s">
        <v>596</v>
      </c>
      <c r="N35" s="35" t="s">
        <v>597</v>
      </c>
    </row>
    <row r="36" spans="1:14">
      <c r="A36" s="32">
        <v>45341</v>
      </c>
      <c r="B36" s="31" t="s">
        <v>513</v>
      </c>
      <c r="C36" s="34">
        <v>4123.05</v>
      </c>
      <c r="D36" s="34">
        <v>4128.3</v>
      </c>
      <c r="E36" s="34">
        <v>4055</v>
      </c>
      <c r="F36" s="34">
        <v>4128.3</v>
      </c>
      <c r="G36" s="34">
        <v>4099.8500000000004</v>
      </c>
      <c r="H36" s="34">
        <v>4103.8</v>
      </c>
      <c r="I36" s="34">
        <v>4092.76</v>
      </c>
      <c r="J36" s="34">
        <v>4184.75</v>
      </c>
      <c r="K36" s="34">
        <v>3070.25</v>
      </c>
      <c r="L36" s="35" t="s">
        <v>593</v>
      </c>
      <c r="M36" s="35" t="s">
        <v>594</v>
      </c>
      <c r="N36" s="36">
        <v>70873</v>
      </c>
    </row>
    <row r="37" spans="1:14">
      <c r="A37" s="32">
        <v>45342</v>
      </c>
      <c r="B37" s="31" t="s">
        <v>513</v>
      </c>
      <c r="C37" s="34">
        <v>4082.1</v>
      </c>
      <c r="D37" s="34">
        <v>4098</v>
      </c>
      <c r="E37" s="34">
        <v>4010</v>
      </c>
      <c r="F37" s="34">
        <v>4103.8</v>
      </c>
      <c r="G37" s="34">
        <v>4035</v>
      </c>
      <c r="H37" s="34">
        <v>4030.65</v>
      </c>
      <c r="I37" s="34">
        <v>4047.78</v>
      </c>
      <c r="J37" s="34">
        <v>4184.75</v>
      </c>
      <c r="K37" s="34">
        <v>3070.25</v>
      </c>
      <c r="L37" s="35" t="s">
        <v>590</v>
      </c>
      <c r="M37" s="35" t="s">
        <v>591</v>
      </c>
      <c r="N37" s="35" t="s">
        <v>592</v>
      </c>
    </row>
    <row r="38" spans="1:14">
      <c r="A38" s="32">
        <v>45343</v>
      </c>
      <c r="B38" s="31" t="s">
        <v>513</v>
      </c>
      <c r="C38" s="34">
        <v>4013</v>
      </c>
      <c r="D38" s="34">
        <v>4063.35</v>
      </c>
      <c r="E38" s="34">
        <v>3980.6</v>
      </c>
      <c r="F38" s="34">
        <v>4030.65</v>
      </c>
      <c r="G38" s="34">
        <v>3987</v>
      </c>
      <c r="H38" s="34">
        <v>3991.5</v>
      </c>
      <c r="I38" s="34">
        <v>4025.98</v>
      </c>
      <c r="J38" s="34">
        <v>4184.75</v>
      </c>
      <c r="K38" s="34">
        <v>3070.25</v>
      </c>
      <c r="L38" s="35" t="s">
        <v>587</v>
      </c>
      <c r="M38" s="35" t="s">
        <v>588</v>
      </c>
      <c r="N38" s="35" t="s">
        <v>589</v>
      </c>
    </row>
    <row r="39" spans="1:14">
      <c r="A39" s="32">
        <v>45344</v>
      </c>
      <c r="B39" s="31" t="s">
        <v>513</v>
      </c>
      <c r="C39" s="34">
        <v>3971</v>
      </c>
      <c r="D39" s="34">
        <v>4094.95</v>
      </c>
      <c r="E39" s="34">
        <v>3971</v>
      </c>
      <c r="F39" s="34">
        <v>3991.5</v>
      </c>
      <c r="G39" s="34">
        <v>4082.55</v>
      </c>
      <c r="H39" s="34">
        <v>4087.1</v>
      </c>
      <c r="I39" s="34">
        <v>4036.74</v>
      </c>
      <c r="J39" s="34">
        <v>4184.75</v>
      </c>
      <c r="K39" s="34">
        <v>3070.25</v>
      </c>
      <c r="L39" s="35" t="s">
        <v>584</v>
      </c>
      <c r="M39" s="35" t="s">
        <v>585</v>
      </c>
      <c r="N39" s="35" t="s">
        <v>586</v>
      </c>
    </row>
    <row r="40" spans="1:14">
      <c r="A40" s="32">
        <v>45345</v>
      </c>
      <c r="B40" s="31" t="s">
        <v>513</v>
      </c>
      <c r="C40" s="34">
        <v>4130</v>
      </c>
      <c r="D40" s="34">
        <v>4130</v>
      </c>
      <c r="E40" s="34">
        <v>4046.4</v>
      </c>
      <c r="F40" s="34">
        <v>4087.1</v>
      </c>
      <c r="G40" s="34">
        <v>4046.4</v>
      </c>
      <c r="H40" s="34">
        <v>4052.1</v>
      </c>
      <c r="I40" s="34">
        <v>4086.76</v>
      </c>
      <c r="J40" s="34">
        <v>4184.75</v>
      </c>
      <c r="K40" s="34">
        <v>3070.25</v>
      </c>
      <c r="L40" s="35" t="s">
        <v>581</v>
      </c>
      <c r="M40" s="35" t="s">
        <v>582</v>
      </c>
      <c r="N40" s="35" t="s">
        <v>583</v>
      </c>
    </row>
    <row r="41" spans="1:14">
      <c r="A41" s="32">
        <v>45348</v>
      </c>
      <c r="B41" s="31" t="s">
        <v>513</v>
      </c>
      <c r="C41" s="34">
        <v>4036</v>
      </c>
      <c r="D41" s="34">
        <v>4050</v>
      </c>
      <c r="E41" s="34">
        <v>3982.75</v>
      </c>
      <c r="F41" s="34">
        <v>4052.1</v>
      </c>
      <c r="G41" s="34">
        <v>4001.9</v>
      </c>
      <c r="H41" s="34">
        <v>4001.05</v>
      </c>
      <c r="I41" s="34">
        <v>4001.89</v>
      </c>
      <c r="J41" s="34">
        <v>4184.75</v>
      </c>
      <c r="K41" s="34">
        <v>3070.25</v>
      </c>
      <c r="L41" s="35" t="s">
        <v>578</v>
      </c>
      <c r="M41" s="35" t="s">
        <v>579</v>
      </c>
      <c r="N41" s="35" t="s">
        <v>580</v>
      </c>
    </row>
    <row r="42" spans="1:14">
      <c r="A42" s="32">
        <v>45349</v>
      </c>
      <c r="B42" s="31" t="s">
        <v>513</v>
      </c>
      <c r="C42" s="34">
        <v>3999</v>
      </c>
      <c r="D42" s="34">
        <v>4124</v>
      </c>
      <c r="E42" s="34">
        <v>3999</v>
      </c>
      <c r="F42" s="34">
        <v>4001.05</v>
      </c>
      <c r="G42" s="34">
        <v>4100.5</v>
      </c>
      <c r="H42" s="34">
        <v>4104.3999999999996</v>
      </c>
      <c r="I42" s="34">
        <v>4083.47</v>
      </c>
      <c r="J42" s="34">
        <v>4184.75</v>
      </c>
      <c r="K42" s="34">
        <v>3070.25</v>
      </c>
      <c r="L42" s="35" t="s">
        <v>575</v>
      </c>
      <c r="M42" s="35" t="s">
        <v>576</v>
      </c>
      <c r="N42" s="35" t="s">
        <v>577</v>
      </c>
    </row>
    <row r="43" spans="1:14">
      <c r="A43" s="32">
        <v>45350</v>
      </c>
      <c r="B43" s="31" t="s">
        <v>513</v>
      </c>
      <c r="C43" s="34">
        <v>4095.6</v>
      </c>
      <c r="D43" s="34">
        <v>4154.8999999999996</v>
      </c>
      <c r="E43" s="34">
        <v>4089</v>
      </c>
      <c r="F43" s="34">
        <v>4104.3999999999996</v>
      </c>
      <c r="G43" s="34">
        <v>4109.8999999999996</v>
      </c>
      <c r="H43" s="34">
        <v>4118.95</v>
      </c>
      <c r="I43" s="34">
        <v>4126.3500000000004</v>
      </c>
      <c r="J43" s="34">
        <v>4184.75</v>
      </c>
      <c r="K43" s="34">
        <v>3070.25</v>
      </c>
      <c r="L43" s="35" t="s">
        <v>572</v>
      </c>
      <c r="M43" s="35" t="s">
        <v>573</v>
      </c>
      <c r="N43" s="35" t="s">
        <v>574</v>
      </c>
    </row>
    <row r="44" spans="1:14">
      <c r="A44" s="32">
        <v>45351</v>
      </c>
      <c r="B44" s="31" t="s">
        <v>513</v>
      </c>
      <c r="C44" s="34">
        <v>4099</v>
      </c>
      <c r="D44" s="34">
        <v>4138.1000000000004</v>
      </c>
      <c r="E44" s="34">
        <v>4064.55</v>
      </c>
      <c r="F44" s="34">
        <v>4118.95</v>
      </c>
      <c r="G44" s="34">
        <v>4113</v>
      </c>
      <c r="H44" s="34">
        <v>4095.1</v>
      </c>
      <c r="I44" s="34">
        <v>4098.6000000000004</v>
      </c>
      <c r="J44" s="34">
        <v>4184.75</v>
      </c>
      <c r="K44" s="34">
        <v>3070.25</v>
      </c>
      <c r="L44" s="35" t="s">
        <v>569</v>
      </c>
      <c r="M44" s="35" t="s">
        <v>570</v>
      </c>
      <c r="N44" s="35" t="s">
        <v>571</v>
      </c>
    </row>
    <row r="45" spans="1:14">
      <c r="A45" s="32">
        <v>45352</v>
      </c>
      <c r="B45" s="31" t="s">
        <v>513</v>
      </c>
      <c r="C45" s="34">
        <v>4107.2</v>
      </c>
      <c r="D45" s="34">
        <v>4140</v>
      </c>
      <c r="E45" s="34">
        <v>4086.8</v>
      </c>
      <c r="F45" s="34">
        <v>4095.1</v>
      </c>
      <c r="G45" s="34">
        <v>4093</v>
      </c>
      <c r="H45" s="34">
        <v>4094.35</v>
      </c>
      <c r="I45" s="34">
        <v>4110.8500000000004</v>
      </c>
      <c r="J45" s="34">
        <v>4184.75</v>
      </c>
      <c r="K45" s="34">
        <v>3070.25</v>
      </c>
      <c r="L45" s="35" t="s">
        <v>566</v>
      </c>
      <c r="M45" s="35" t="s">
        <v>567</v>
      </c>
      <c r="N45" s="35" t="s">
        <v>568</v>
      </c>
    </row>
    <row r="46" spans="1:14">
      <c r="A46" s="32">
        <v>45353</v>
      </c>
      <c r="B46" s="31" t="s">
        <v>513</v>
      </c>
      <c r="C46" s="34">
        <v>4112.7</v>
      </c>
      <c r="D46" s="34">
        <v>4129.5</v>
      </c>
      <c r="E46" s="34">
        <v>4090.15</v>
      </c>
      <c r="F46" s="34">
        <v>4094.35</v>
      </c>
      <c r="G46" s="34">
        <v>4110</v>
      </c>
      <c r="H46" s="34">
        <v>4107.1000000000004</v>
      </c>
      <c r="I46" s="34">
        <v>4110.6499999999996</v>
      </c>
      <c r="J46" s="34">
        <v>4184.75</v>
      </c>
      <c r="K46" s="34">
        <v>3070.25</v>
      </c>
      <c r="L46" s="36">
        <v>65057</v>
      </c>
      <c r="M46" s="35" t="s">
        <v>565</v>
      </c>
      <c r="N46" s="36">
        <v>8974</v>
      </c>
    </row>
    <row r="47" spans="1:14">
      <c r="A47" s="32">
        <v>45355</v>
      </c>
      <c r="B47" s="31" t="s">
        <v>513</v>
      </c>
      <c r="C47" s="34">
        <v>4105</v>
      </c>
      <c r="D47" s="34">
        <v>4117.8999999999996</v>
      </c>
      <c r="E47" s="34">
        <v>4075.9</v>
      </c>
      <c r="F47" s="34">
        <v>4107.1000000000004</v>
      </c>
      <c r="G47" s="34">
        <v>4082</v>
      </c>
      <c r="H47" s="34">
        <v>4080.7</v>
      </c>
      <c r="I47" s="34">
        <v>4090.25</v>
      </c>
      <c r="J47" s="34">
        <v>4184.75</v>
      </c>
      <c r="K47" s="34">
        <v>3070.25</v>
      </c>
      <c r="L47" s="35" t="s">
        <v>562</v>
      </c>
      <c r="M47" s="35" t="s">
        <v>563</v>
      </c>
      <c r="N47" s="35" t="s">
        <v>564</v>
      </c>
    </row>
    <row r="48" spans="1:14">
      <c r="A48" s="32">
        <v>45356</v>
      </c>
      <c r="B48" s="31" t="s">
        <v>513</v>
      </c>
      <c r="C48" s="34">
        <v>4062</v>
      </c>
      <c r="D48" s="34">
        <v>4064</v>
      </c>
      <c r="E48" s="34">
        <v>3980</v>
      </c>
      <c r="F48" s="34">
        <v>4080.7</v>
      </c>
      <c r="G48" s="34">
        <v>4010.9</v>
      </c>
      <c r="H48" s="34">
        <v>4012.1</v>
      </c>
      <c r="I48" s="34">
        <v>4017.34</v>
      </c>
      <c r="J48" s="34">
        <v>4184.75</v>
      </c>
      <c r="K48" s="34">
        <v>3070.25</v>
      </c>
      <c r="L48" s="35" t="s">
        <v>559</v>
      </c>
      <c r="M48" s="35" t="s">
        <v>560</v>
      </c>
      <c r="N48" s="35" t="s">
        <v>561</v>
      </c>
    </row>
    <row r="49" spans="1:14">
      <c r="A49" s="32">
        <v>45357</v>
      </c>
      <c r="B49" s="31" t="s">
        <v>513</v>
      </c>
      <c r="C49" s="34">
        <v>3994.05</v>
      </c>
      <c r="D49" s="34">
        <v>4072</v>
      </c>
      <c r="E49" s="34">
        <v>3958.45</v>
      </c>
      <c r="F49" s="34">
        <v>4012.1</v>
      </c>
      <c r="G49" s="34">
        <v>4058</v>
      </c>
      <c r="H49" s="34">
        <v>4064.3</v>
      </c>
      <c r="I49" s="34">
        <v>4012.65</v>
      </c>
      <c r="J49" s="34">
        <v>4184.75</v>
      </c>
      <c r="K49" s="34">
        <v>3070.25</v>
      </c>
      <c r="L49" s="35" t="s">
        <v>556</v>
      </c>
      <c r="M49" s="35" t="s">
        <v>557</v>
      </c>
      <c r="N49" s="35" t="s">
        <v>558</v>
      </c>
    </row>
    <row r="50" spans="1:14">
      <c r="A50" s="32">
        <v>45358</v>
      </c>
      <c r="B50" s="31" t="s">
        <v>513</v>
      </c>
      <c r="C50" s="34">
        <v>4065</v>
      </c>
      <c r="D50" s="34">
        <v>4124</v>
      </c>
      <c r="E50" s="34">
        <v>4037.7</v>
      </c>
      <c r="F50" s="34">
        <v>4064.3</v>
      </c>
      <c r="G50" s="34">
        <v>4105</v>
      </c>
      <c r="H50" s="34">
        <v>4108.6000000000004</v>
      </c>
      <c r="I50" s="34">
        <v>4099</v>
      </c>
      <c r="J50" s="34">
        <v>4184.75</v>
      </c>
      <c r="K50" s="34">
        <v>3070.25</v>
      </c>
      <c r="L50" s="35" t="s">
        <v>553</v>
      </c>
      <c r="M50" s="35" t="s">
        <v>554</v>
      </c>
      <c r="N50" s="35" t="s">
        <v>555</v>
      </c>
    </row>
    <row r="51" spans="1:14">
      <c r="A51" s="32">
        <v>45362</v>
      </c>
      <c r="B51" s="31" t="s">
        <v>513</v>
      </c>
      <c r="C51" s="34">
        <v>4089</v>
      </c>
      <c r="D51" s="34">
        <v>4153</v>
      </c>
      <c r="E51" s="34">
        <v>4089</v>
      </c>
      <c r="F51" s="34">
        <v>4108.6000000000004</v>
      </c>
      <c r="G51" s="34">
        <v>4120</v>
      </c>
      <c r="H51" s="34">
        <v>4122.3500000000004</v>
      </c>
      <c r="I51" s="34">
        <v>4124.96</v>
      </c>
      <c r="J51" s="34">
        <v>4184.75</v>
      </c>
      <c r="K51" s="34">
        <v>3070.25</v>
      </c>
      <c r="L51" s="35" t="s">
        <v>550</v>
      </c>
      <c r="M51" s="35" t="s">
        <v>551</v>
      </c>
      <c r="N51" s="35" t="s">
        <v>552</v>
      </c>
    </row>
    <row r="52" spans="1:14">
      <c r="A52" s="32">
        <v>45363</v>
      </c>
      <c r="B52" s="31" t="s">
        <v>513</v>
      </c>
      <c r="C52" s="34">
        <v>4122.3500000000004</v>
      </c>
      <c r="D52" s="34">
        <v>4229.95</v>
      </c>
      <c r="E52" s="34">
        <v>4121.05</v>
      </c>
      <c r="F52" s="34">
        <v>4122.3500000000004</v>
      </c>
      <c r="G52" s="34">
        <v>4194.55</v>
      </c>
      <c r="H52" s="34">
        <v>4192.25</v>
      </c>
      <c r="I52" s="34">
        <v>4198.28</v>
      </c>
      <c r="J52" s="34">
        <v>4229.95</v>
      </c>
      <c r="K52" s="34">
        <v>3070.25</v>
      </c>
      <c r="L52" s="35" t="s">
        <v>547</v>
      </c>
      <c r="M52" s="35" t="s">
        <v>548</v>
      </c>
      <c r="N52" s="35" t="s">
        <v>549</v>
      </c>
    </row>
    <row r="53" spans="1:14">
      <c r="A53" s="32">
        <v>45364</v>
      </c>
      <c r="B53" s="31" t="s">
        <v>513</v>
      </c>
      <c r="C53" s="34">
        <v>4205</v>
      </c>
      <c r="D53" s="34">
        <v>4241</v>
      </c>
      <c r="E53" s="34">
        <v>4131.8999999999996</v>
      </c>
      <c r="F53" s="34">
        <v>4192.25</v>
      </c>
      <c r="G53" s="34">
        <v>4139</v>
      </c>
      <c r="H53" s="34">
        <v>4149</v>
      </c>
      <c r="I53" s="34">
        <v>4177.33</v>
      </c>
      <c r="J53" s="34">
        <v>4241</v>
      </c>
      <c r="K53" s="34">
        <v>3070.25</v>
      </c>
      <c r="L53" s="35" t="s">
        <v>544</v>
      </c>
      <c r="M53" s="35" t="s">
        <v>545</v>
      </c>
      <c r="N53" s="35" t="s">
        <v>546</v>
      </c>
    </row>
    <row r="54" spans="1:14">
      <c r="A54" s="32">
        <v>45365</v>
      </c>
      <c r="B54" s="31" t="s">
        <v>513</v>
      </c>
      <c r="C54" s="34">
        <v>4153.45</v>
      </c>
      <c r="D54" s="34">
        <v>4225</v>
      </c>
      <c r="E54" s="34">
        <v>4086</v>
      </c>
      <c r="F54" s="34">
        <v>4149</v>
      </c>
      <c r="G54" s="34">
        <v>4207.75</v>
      </c>
      <c r="H54" s="34">
        <v>4207.6000000000004</v>
      </c>
      <c r="I54" s="34">
        <v>4166.3</v>
      </c>
      <c r="J54" s="34">
        <v>4241</v>
      </c>
      <c r="K54" s="34">
        <v>3070.25</v>
      </c>
      <c r="L54" s="35" t="s">
        <v>541</v>
      </c>
      <c r="M54" s="35" t="s">
        <v>542</v>
      </c>
      <c r="N54" s="35" t="s">
        <v>543</v>
      </c>
    </row>
    <row r="55" spans="1:14">
      <c r="A55" s="32">
        <v>45366</v>
      </c>
      <c r="B55" s="31" t="s">
        <v>513</v>
      </c>
      <c r="C55" s="34">
        <v>4192.6000000000004</v>
      </c>
      <c r="D55" s="34">
        <v>4239</v>
      </c>
      <c r="E55" s="34">
        <v>4177</v>
      </c>
      <c r="F55" s="34">
        <v>4207.6000000000004</v>
      </c>
      <c r="G55" s="34">
        <v>4220</v>
      </c>
      <c r="H55" s="34">
        <v>4219.25</v>
      </c>
      <c r="I55" s="34">
        <v>4213.3100000000004</v>
      </c>
      <c r="J55" s="34">
        <v>4241</v>
      </c>
      <c r="K55" s="34">
        <v>3070.25</v>
      </c>
      <c r="L55" s="35" t="s">
        <v>538</v>
      </c>
      <c r="M55" s="35" t="s">
        <v>539</v>
      </c>
      <c r="N55" s="35" t="s">
        <v>540</v>
      </c>
    </row>
    <row r="56" spans="1:14">
      <c r="A56" s="32">
        <v>45369</v>
      </c>
      <c r="B56" s="31" t="s">
        <v>513</v>
      </c>
      <c r="C56" s="34">
        <v>4215.25</v>
      </c>
      <c r="D56" s="34">
        <v>4254.75</v>
      </c>
      <c r="E56" s="34">
        <v>4117.8500000000004</v>
      </c>
      <c r="F56" s="34">
        <v>4219.25</v>
      </c>
      <c r="G56" s="34">
        <v>4144.25</v>
      </c>
      <c r="H56" s="34">
        <v>4152.5</v>
      </c>
      <c r="I56" s="34">
        <v>4196.78</v>
      </c>
      <c r="J56" s="34">
        <v>4254.75</v>
      </c>
      <c r="K56" s="34">
        <v>3070.25</v>
      </c>
      <c r="L56" s="35" t="s">
        <v>535</v>
      </c>
      <c r="M56" s="35" t="s">
        <v>536</v>
      </c>
      <c r="N56" s="35" t="s">
        <v>537</v>
      </c>
    </row>
    <row r="57" spans="1:14">
      <c r="A57" s="32">
        <v>45370</v>
      </c>
      <c r="B57" s="31" t="s">
        <v>513</v>
      </c>
      <c r="C57" s="34">
        <v>4051.25</v>
      </c>
      <c r="D57" s="34">
        <v>4058</v>
      </c>
      <c r="E57" s="34">
        <v>3966.6</v>
      </c>
      <c r="F57" s="34">
        <v>4152.5</v>
      </c>
      <c r="G57" s="34">
        <v>3971</v>
      </c>
      <c r="H57" s="34">
        <v>3977.3</v>
      </c>
      <c r="I57" s="34">
        <v>4022.55</v>
      </c>
      <c r="J57" s="34">
        <v>4254.75</v>
      </c>
      <c r="K57" s="34">
        <v>3070.25</v>
      </c>
      <c r="L57" s="35" t="s">
        <v>532</v>
      </c>
      <c r="M57" s="35" t="s">
        <v>533</v>
      </c>
      <c r="N57" s="35" t="s">
        <v>534</v>
      </c>
    </row>
    <row r="58" spans="1:14">
      <c r="A58" s="32">
        <v>45371</v>
      </c>
      <c r="B58" s="31" t="s">
        <v>513</v>
      </c>
      <c r="C58" s="34">
        <v>3986</v>
      </c>
      <c r="D58" s="34">
        <v>4018</v>
      </c>
      <c r="E58" s="34">
        <v>3960.2</v>
      </c>
      <c r="F58" s="34">
        <v>3977.3</v>
      </c>
      <c r="G58" s="34">
        <v>3974.95</v>
      </c>
      <c r="H58" s="34">
        <v>3970.9</v>
      </c>
      <c r="I58" s="34">
        <v>3995.1</v>
      </c>
      <c r="J58" s="34">
        <v>4254.75</v>
      </c>
      <c r="K58" s="34">
        <v>3070.25</v>
      </c>
      <c r="L58" s="35" t="s">
        <v>529</v>
      </c>
      <c r="M58" s="35" t="s">
        <v>530</v>
      </c>
      <c r="N58" s="35" t="s">
        <v>531</v>
      </c>
    </row>
    <row r="59" spans="1:14">
      <c r="A59" s="32">
        <v>45372</v>
      </c>
      <c r="B59" s="31" t="s">
        <v>513</v>
      </c>
      <c r="C59" s="34">
        <v>3990.05</v>
      </c>
      <c r="D59" s="34">
        <v>4008.4</v>
      </c>
      <c r="E59" s="34">
        <v>3948</v>
      </c>
      <c r="F59" s="34">
        <v>3970.9</v>
      </c>
      <c r="G59" s="34">
        <v>3979.45</v>
      </c>
      <c r="H59" s="34">
        <v>3972.95</v>
      </c>
      <c r="I59" s="34">
        <v>3972.92</v>
      </c>
      <c r="J59" s="34">
        <v>4254.75</v>
      </c>
      <c r="K59" s="34">
        <v>3070.25</v>
      </c>
      <c r="L59" s="35" t="s">
        <v>526</v>
      </c>
      <c r="M59" s="35" t="s">
        <v>527</v>
      </c>
      <c r="N59" s="35" t="s">
        <v>528</v>
      </c>
    </row>
    <row r="60" spans="1:14">
      <c r="A60" s="32">
        <v>45373</v>
      </c>
      <c r="B60" s="31" t="s">
        <v>513</v>
      </c>
      <c r="C60" s="34">
        <v>3897</v>
      </c>
      <c r="D60" s="34">
        <v>3938</v>
      </c>
      <c r="E60" s="34">
        <v>3855</v>
      </c>
      <c r="F60" s="34">
        <v>3972.95</v>
      </c>
      <c r="G60" s="34">
        <v>3909</v>
      </c>
      <c r="H60" s="34">
        <v>3910.9</v>
      </c>
      <c r="I60" s="34">
        <v>3903.24</v>
      </c>
      <c r="J60" s="34">
        <v>4254.75</v>
      </c>
      <c r="K60" s="34">
        <v>3070.25</v>
      </c>
      <c r="L60" s="35" t="s">
        <v>523</v>
      </c>
      <c r="M60" s="35" t="s">
        <v>524</v>
      </c>
      <c r="N60" s="35" t="s">
        <v>525</v>
      </c>
    </row>
    <row r="61" spans="1:14">
      <c r="A61" s="32">
        <v>45377</v>
      </c>
      <c r="B61" s="31" t="s">
        <v>513</v>
      </c>
      <c r="C61" s="34">
        <v>3875</v>
      </c>
      <c r="D61" s="34">
        <v>3946.7</v>
      </c>
      <c r="E61" s="34">
        <v>3871.45</v>
      </c>
      <c r="F61" s="34">
        <v>3910.9</v>
      </c>
      <c r="G61" s="34">
        <v>3883</v>
      </c>
      <c r="H61" s="34">
        <v>3877.5</v>
      </c>
      <c r="I61" s="34">
        <v>3894.29</v>
      </c>
      <c r="J61" s="34">
        <v>4254.75</v>
      </c>
      <c r="K61" s="34">
        <v>3070.25</v>
      </c>
      <c r="L61" s="35" t="s">
        <v>520</v>
      </c>
      <c r="M61" s="35" t="s">
        <v>521</v>
      </c>
      <c r="N61" s="35" t="s">
        <v>522</v>
      </c>
    </row>
    <row r="62" spans="1:14">
      <c r="A62" s="32">
        <v>45378</v>
      </c>
      <c r="B62" s="31" t="s">
        <v>513</v>
      </c>
      <c r="C62" s="34">
        <v>3888.5</v>
      </c>
      <c r="D62" s="34">
        <v>3895</v>
      </c>
      <c r="E62" s="34">
        <v>3829.4</v>
      </c>
      <c r="F62" s="34">
        <v>3877.5</v>
      </c>
      <c r="G62" s="34">
        <v>3854.15</v>
      </c>
      <c r="H62" s="34">
        <v>3840.9</v>
      </c>
      <c r="I62" s="34">
        <v>3861.6</v>
      </c>
      <c r="J62" s="34">
        <v>4254.75</v>
      </c>
      <c r="K62" s="34">
        <v>3070.25</v>
      </c>
      <c r="L62" s="35" t="s">
        <v>517</v>
      </c>
      <c r="M62" s="35" t="s">
        <v>518</v>
      </c>
      <c r="N62" s="35" t="s">
        <v>519</v>
      </c>
    </row>
    <row r="63" spans="1:14">
      <c r="A63" s="32">
        <v>45379</v>
      </c>
      <c r="B63" s="31" t="s">
        <v>513</v>
      </c>
      <c r="C63" s="34">
        <v>3850.1</v>
      </c>
      <c r="D63" s="34">
        <v>3915</v>
      </c>
      <c r="E63" s="34">
        <v>3840.5</v>
      </c>
      <c r="F63" s="34">
        <v>3840.9</v>
      </c>
      <c r="G63" s="34">
        <v>3882.1</v>
      </c>
      <c r="H63" s="34">
        <v>3876.3</v>
      </c>
      <c r="I63" s="34">
        <v>3880.57</v>
      </c>
      <c r="J63" s="34">
        <v>4254.75</v>
      </c>
      <c r="K63" s="34">
        <v>3070.25</v>
      </c>
      <c r="L63" s="35" t="s">
        <v>514</v>
      </c>
      <c r="M63" s="35" t="s">
        <v>515</v>
      </c>
      <c r="N63" s="35" t="s">
        <v>516</v>
      </c>
    </row>
  </sheetData>
  <autoFilter ref="A1:N1" xr:uid="{AF8B274E-B38C-4DF9-B8B1-F12306877FB3}">
    <sortState xmlns:xlrd2="http://schemas.microsoft.com/office/spreadsheetml/2017/richdata2" ref="A2:N63">
      <sortCondition ref="A1"/>
    </sortState>
  </autoFilter>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18DC1-2A58-4D6D-8EDA-B6D01B700C53}">
  <dimension ref="A1:E63"/>
  <sheetViews>
    <sheetView workbookViewId="0"/>
  </sheetViews>
  <sheetFormatPr defaultRowHeight="15"/>
  <cols>
    <col min="1" max="1" width="9.85546875" bestFit="1" customWidth="1"/>
    <col min="2" max="2" width="9.42578125" bestFit="1" customWidth="1"/>
    <col min="3" max="3" width="8.7109375" bestFit="1" customWidth="1"/>
    <col min="4" max="4" width="8.5703125" bestFit="1" customWidth="1"/>
    <col min="5" max="5" width="8.7109375" bestFit="1" customWidth="1"/>
  </cols>
  <sheetData>
    <row r="1" spans="1:5" ht="15.75">
      <c r="A1" s="33" t="s">
        <v>499</v>
      </c>
      <c r="B1" s="33" t="s">
        <v>694</v>
      </c>
      <c r="C1" s="33" t="s">
        <v>497</v>
      </c>
      <c r="D1" s="33" t="s">
        <v>498</v>
      </c>
      <c r="E1" s="33" t="s">
        <v>695</v>
      </c>
    </row>
    <row r="2" spans="1:5">
      <c r="A2" s="32">
        <v>45352</v>
      </c>
      <c r="B2" s="37">
        <f>VLOOKUP($A2,'Daily Share Prices'!A1:$N$63,3,0)</f>
        <v>4107.2</v>
      </c>
      <c r="C2" s="34">
        <f>VLOOKUP($A2,'Daily Share Prices'!$A$1:$N$63,4,0)</f>
        <v>4140</v>
      </c>
      <c r="D2" s="34">
        <f>VLOOKUP($A2,'Daily Share Prices'!$A$1:$N$63,5,0)</f>
        <v>4086.8</v>
      </c>
      <c r="E2" s="34">
        <f>VLOOKUP($A2,'Daily Share Prices'!$A$1:$N$63,8,0)</f>
        <v>4094.35</v>
      </c>
    </row>
    <row r="3" spans="1:5">
      <c r="A3" s="32">
        <v>45353</v>
      </c>
      <c r="B3" s="37">
        <f>VLOOKUP($A3,'Daily Share Prices'!A2:$N$63,3,1)</f>
        <v>4112.7</v>
      </c>
      <c r="C3" s="34">
        <f>VLOOKUP($A3,'Daily Share Prices'!$A$1:$N$63,4,0)</f>
        <v>4129.5</v>
      </c>
      <c r="D3" s="34">
        <f>VLOOKUP($A3,'Daily Share Prices'!$A$1:$N$63,5,0)</f>
        <v>4090.15</v>
      </c>
      <c r="E3" s="34">
        <f>VLOOKUP($A3,'Daily Share Prices'!$A$1:$N$63,8,0)</f>
        <v>4107.1000000000004</v>
      </c>
    </row>
    <row r="4" spans="1:5">
      <c r="A4" s="32">
        <v>45355</v>
      </c>
      <c r="B4" s="37">
        <f>VLOOKUP($A4,'Daily Share Prices'!A3:$N$63,3,1)</f>
        <v>4105</v>
      </c>
      <c r="C4" s="34">
        <f>VLOOKUP($A4,'Daily Share Prices'!$A$1:$N$63,4,0)</f>
        <v>4117.8999999999996</v>
      </c>
      <c r="D4" s="34">
        <f>VLOOKUP($A4,'Daily Share Prices'!$A$1:$N$63,5,0)</f>
        <v>4075.9</v>
      </c>
      <c r="E4" s="34">
        <f>VLOOKUP($A4,'Daily Share Prices'!$A$1:$N$63,8,0)</f>
        <v>4080.7</v>
      </c>
    </row>
    <row r="5" spans="1:5">
      <c r="A5" s="32">
        <v>45356</v>
      </c>
      <c r="B5" s="37">
        <f>VLOOKUP($A5,'Daily Share Prices'!A4:$N$63,3,1)</f>
        <v>4062</v>
      </c>
      <c r="C5" s="34">
        <f>VLOOKUP($A5,'Daily Share Prices'!$A$1:$N$63,4,0)</f>
        <v>4064</v>
      </c>
      <c r="D5" s="34">
        <f>VLOOKUP($A5,'Daily Share Prices'!$A$1:$N$63,5,0)</f>
        <v>3980</v>
      </c>
      <c r="E5" s="34">
        <f>VLOOKUP($A5,'Daily Share Prices'!$A$1:$N$63,8,0)</f>
        <v>4012.1</v>
      </c>
    </row>
    <row r="6" spans="1:5">
      <c r="A6" s="32">
        <v>45357</v>
      </c>
      <c r="B6" s="37">
        <f>VLOOKUP($A6,'Daily Share Prices'!A5:$N$63,3,1)</f>
        <v>3994.05</v>
      </c>
      <c r="C6" s="34">
        <f>VLOOKUP($A6,'Daily Share Prices'!$A$1:$N$63,4,0)</f>
        <v>4072</v>
      </c>
      <c r="D6" s="34">
        <f>VLOOKUP($A6,'Daily Share Prices'!$A$1:$N$63,5,0)</f>
        <v>3958.45</v>
      </c>
      <c r="E6" s="34">
        <f>VLOOKUP($A6,'Daily Share Prices'!$A$1:$N$63,8,0)</f>
        <v>4064.3</v>
      </c>
    </row>
    <row r="7" spans="1:5">
      <c r="A7" s="32">
        <v>45358</v>
      </c>
      <c r="B7" s="37">
        <f>VLOOKUP($A7,'Daily Share Prices'!A6:$N$63,3,1)</f>
        <v>4065</v>
      </c>
      <c r="C7" s="34">
        <f>VLOOKUP($A7,'Daily Share Prices'!$A$1:$N$63,4,0)</f>
        <v>4124</v>
      </c>
      <c r="D7" s="34">
        <f>VLOOKUP($A7,'Daily Share Prices'!$A$1:$N$63,5,0)</f>
        <v>4037.7</v>
      </c>
      <c r="E7" s="34">
        <f>VLOOKUP($A7,'Daily Share Prices'!$A$1:$N$63,8,0)</f>
        <v>4108.6000000000004</v>
      </c>
    </row>
    <row r="8" spans="1:5">
      <c r="A8" s="32">
        <v>45362</v>
      </c>
      <c r="B8" s="37">
        <f>VLOOKUP($A8,'Daily Share Prices'!A7:$N$63,3,1)</f>
        <v>4089</v>
      </c>
      <c r="C8" s="34">
        <f>VLOOKUP($A8,'Daily Share Prices'!$A$1:$N$63,4,0)</f>
        <v>4153</v>
      </c>
      <c r="D8" s="34">
        <f>VLOOKUP($A8,'Daily Share Prices'!$A$1:$N$63,5,0)</f>
        <v>4089</v>
      </c>
      <c r="E8" s="34">
        <f>VLOOKUP($A8,'Daily Share Prices'!$A$1:$N$63,8,0)</f>
        <v>4122.3500000000004</v>
      </c>
    </row>
    <row r="9" spans="1:5">
      <c r="A9" s="32">
        <v>45363</v>
      </c>
      <c r="B9" s="37">
        <f>VLOOKUP($A9,'Daily Share Prices'!A8:$N$63,3,1)</f>
        <v>4122.3500000000004</v>
      </c>
      <c r="C9" s="34">
        <f>VLOOKUP($A9,'Daily Share Prices'!$A$1:$N$63,4,0)</f>
        <v>4229.95</v>
      </c>
      <c r="D9" s="34">
        <f>VLOOKUP($A9,'Daily Share Prices'!$A$1:$N$63,5,0)</f>
        <v>4121.05</v>
      </c>
      <c r="E9" s="34">
        <f>VLOOKUP($A9,'Daily Share Prices'!$A$1:$N$63,8,0)</f>
        <v>4192.25</v>
      </c>
    </row>
    <row r="10" spans="1:5">
      <c r="A10" s="32">
        <v>45364</v>
      </c>
      <c r="B10" s="37">
        <f>VLOOKUP($A10,'Daily Share Prices'!A9:$N$63,3,1)</f>
        <v>4205</v>
      </c>
      <c r="C10" s="34">
        <f>VLOOKUP($A10,'Daily Share Prices'!$A$1:$N$63,4,0)</f>
        <v>4241</v>
      </c>
      <c r="D10" s="34">
        <f>VLOOKUP($A10,'Daily Share Prices'!$A$1:$N$63,5,0)</f>
        <v>4131.8999999999996</v>
      </c>
      <c r="E10" s="34">
        <f>VLOOKUP($A10,'Daily Share Prices'!$A$1:$N$63,8,0)</f>
        <v>4149</v>
      </c>
    </row>
    <row r="11" spans="1:5">
      <c r="A11" s="32">
        <v>45365</v>
      </c>
      <c r="B11" s="37">
        <f>VLOOKUP($A11,'Daily Share Prices'!A10:$N$63,3,1)</f>
        <v>4153.45</v>
      </c>
      <c r="C11" s="34">
        <f>VLOOKUP($A11,'Daily Share Prices'!$A$1:$N$63,4,0)</f>
        <v>4225</v>
      </c>
      <c r="D11" s="34">
        <f>VLOOKUP($A11,'Daily Share Prices'!$A$1:$N$63,5,0)</f>
        <v>4086</v>
      </c>
      <c r="E11" s="34">
        <f>VLOOKUP($A11,'Daily Share Prices'!$A$1:$N$63,8,0)</f>
        <v>4207.6000000000004</v>
      </c>
    </row>
    <row r="12" spans="1:5">
      <c r="A12" s="32">
        <v>45366</v>
      </c>
      <c r="B12" s="37">
        <f>VLOOKUP($A12,'Daily Share Prices'!A11:$N$63,3,1)</f>
        <v>4192.6000000000004</v>
      </c>
      <c r="C12" s="34">
        <f>VLOOKUP($A12,'Daily Share Prices'!$A$1:$N$63,4,0)</f>
        <v>4239</v>
      </c>
      <c r="D12" s="34">
        <f>VLOOKUP($A12,'Daily Share Prices'!$A$1:$N$63,5,0)</f>
        <v>4177</v>
      </c>
      <c r="E12" s="34">
        <f>VLOOKUP($A12,'Daily Share Prices'!$A$1:$N$63,8,0)</f>
        <v>4219.25</v>
      </c>
    </row>
    <row r="13" spans="1:5">
      <c r="A13" s="32">
        <v>45369</v>
      </c>
      <c r="B13" s="37">
        <f>VLOOKUP($A13,'Daily Share Prices'!A12:$N$63,3,1)</f>
        <v>4215.25</v>
      </c>
      <c r="C13" s="34">
        <f>VLOOKUP($A13,'Daily Share Prices'!$A$1:$N$63,4,0)</f>
        <v>4254.75</v>
      </c>
      <c r="D13" s="34">
        <f>VLOOKUP($A13,'Daily Share Prices'!$A$1:$N$63,5,0)</f>
        <v>4117.8500000000004</v>
      </c>
      <c r="E13" s="34">
        <f>VLOOKUP($A13,'Daily Share Prices'!$A$1:$N$63,8,0)</f>
        <v>4152.5</v>
      </c>
    </row>
    <row r="14" spans="1:5">
      <c r="A14" s="32">
        <v>45370</v>
      </c>
      <c r="B14" s="37">
        <f>VLOOKUP($A14,'Daily Share Prices'!A13:$N$63,3,1)</f>
        <v>4051.25</v>
      </c>
      <c r="C14" s="34">
        <f>VLOOKUP($A14,'Daily Share Prices'!$A$1:$N$63,4,0)</f>
        <v>4058</v>
      </c>
      <c r="D14" s="34">
        <f>VLOOKUP($A14,'Daily Share Prices'!$A$1:$N$63,5,0)</f>
        <v>3966.6</v>
      </c>
      <c r="E14" s="34">
        <f>VLOOKUP($A14,'Daily Share Prices'!$A$1:$N$63,8,0)</f>
        <v>3977.3</v>
      </c>
    </row>
    <row r="15" spans="1:5">
      <c r="A15" s="32">
        <v>45371</v>
      </c>
      <c r="B15" s="37">
        <f>VLOOKUP($A15,'Daily Share Prices'!A14:$N$63,3,1)</f>
        <v>3986</v>
      </c>
      <c r="C15" s="34">
        <f>VLOOKUP($A15,'Daily Share Prices'!$A$1:$N$63,4,0)</f>
        <v>4018</v>
      </c>
      <c r="D15" s="34">
        <f>VLOOKUP($A15,'Daily Share Prices'!$A$1:$N$63,5,0)</f>
        <v>3960.2</v>
      </c>
      <c r="E15" s="34">
        <f>VLOOKUP($A15,'Daily Share Prices'!$A$1:$N$63,8,0)</f>
        <v>3970.9</v>
      </c>
    </row>
    <row r="16" spans="1:5">
      <c r="A16" s="32">
        <v>45372</v>
      </c>
      <c r="B16" s="37">
        <f>VLOOKUP($A16,'Daily Share Prices'!A15:$N$63,3,1)</f>
        <v>3990.05</v>
      </c>
      <c r="C16" s="34">
        <f>VLOOKUP($A16,'Daily Share Prices'!$A$1:$N$63,4,0)</f>
        <v>4008.4</v>
      </c>
      <c r="D16" s="34">
        <f>VLOOKUP($A16,'Daily Share Prices'!$A$1:$N$63,5,0)</f>
        <v>3948</v>
      </c>
      <c r="E16" s="34">
        <f>VLOOKUP($A16,'Daily Share Prices'!$A$1:$N$63,8,0)</f>
        <v>3972.95</v>
      </c>
    </row>
    <row r="17" spans="1:5">
      <c r="A17" s="32">
        <v>45373</v>
      </c>
      <c r="B17" s="37">
        <f>VLOOKUP($A17,'Daily Share Prices'!A16:$N$63,3,1)</f>
        <v>3897</v>
      </c>
      <c r="C17" s="34">
        <f>VLOOKUP($A17,'Daily Share Prices'!$A$1:$N$63,4,0)</f>
        <v>3938</v>
      </c>
      <c r="D17" s="34">
        <f>VLOOKUP($A17,'Daily Share Prices'!$A$1:$N$63,5,0)</f>
        <v>3855</v>
      </c>
      <c r="E17" s="34">
        <f>VLOOKUP($A17,'Daily Share Prices'!$A$1:$N$63,8,0)</f>
        <v>3910.9</v>
      </c>
    </row>
    <row r="18" spans="1:5">
      <c r="A18" s="32">
        <v>45377</v>
      </c>
      <c r="B18" s="37">
        <f>VLOOKUP($A18,'Daily Share Prices'!A17:$N$63,3,1)</f>
        <v>3875</v>
      </c>
      <c r="C18" s="34">
        <f>VLOOKUP($A18,'Daily Share Prices'!$A$1:$N$63,4,0)</f>
        <v>3946.7</v>
      </c>
      <c r="D18" s="34">
        <f>VLOOKUP($A18,'Daily Share Prices'!$A$1:$N$63,5,0)</f>
        <v>3871.45</v>
      </c>
      <c r="E18" s="34">
        <f>VLOOKUP($A18,'Daily Share Prices'!$A$1:$N$63,8,0)</f>
        <v>3877.5</v>
      </c>
    </row>
    <row r="19" spans="1:5">
      <c r="A19" s="32">
        <v>45378</v>
      </c>
      <c r="B19" s="37">
        <f>VLOOKUP($A19,'Daily Share Prices'!A18:$N$63,3,1)</f>
        <v>3888.5</v>
      </c>
      <c r="C19" s="34">
        <f>VLOOKUP($A19,'Daily Share Prices'!$A$1:$N$63,4,0)</f>
        <v>3895</v>
      </c>
      <c r="D19" s="34">
        <f>VLOOKUP($A19,'Daily Share Prices'!$A$1:$N$63,5,0)</f>
        <v>3829.4</v>
      </c>
      <c r="E19" s="34">
        <f>VLOOKUP($A19,'Daily Share Prices'!$A$1:$N$63,8,0)</f>
        <v>3840.9</v>
      </c>
    </row>
    <row r="20" spans="1:5">
      <c r="A20" s="32">
        <v>45379</v>
      </c>
      <c r="B20" s="37">
        <f>VLOOKUP($A20,'Daily Share Prices'!A19:$N$63,3,1)</f>
        <v>3850.1</v>
      </c>
      <c r="C20" s="34">
        <f>VLOOKUP($A20,'Daily Share Prices'!$A$1:$N$63,4,0)</f>
        <v>3915</v>
      </c>
      <c r="D20" s="34">
        <f>VLOOKUP($A20,'Daily Share Prices'!$A$1:$N$63,5,0)</f>
        <v>3840.5</v>
      </c>
      <c r="E20" s="34">
        <f>VLOOKUP($A20,'Daily Share Prices'!$A$1:$N$63,8,0)</f>
        <v>3876.3</v>
      </c>
    </row>
    <row r="21" spans="1:5">
      <c r="A21" s="32"/>
      <c r="B21" s="34"/>
      <c r="C21" s="34"/>
      <c r="D21" s="34"/>
      <c r="E21" s="34"/>
    </row>
    <row r="22" spans="1:5">
      <c r="A22" s="32"/>
      <c r="B22" s="34"/>
      <c r="C22" s="34"/>
      <c r="D22" s="34"/>
      <c r="E22" s="34"/>
    </row>
    <row r="23" spans="1:5">
      <c r="A23" s="32"/>
      <c r="B23" s="34"/>
      <c r="C23" s="34"/>
      <c r="D23" s="34"/>
      <c r="E23" s="34"/>
    </row>
    <row r="24" spans="1:5">
      <c r="A24" s="32"/>
      <c r="B24" s="34"/>
      <c r="C24" s="34"/>
      <c r="D24" s="34"/>
      <c r="E24" s="34"/>
    </row>
    <row r="25" spans="1:5">
      <c r="A25" s="32"/>
      <c r="B25" s="34"/>
      <c r="C25" s="34"/>
      <c r="D25" s="34"/>
      <c r="E25" s="34"/>
    </row>
    <row r="26" spans="1:5">
      <c r="A26" s="32"/>
      <c r="B26" s="34"/>
      <c r="C26" s="34"/>
      <c r="D26" s="34"/>
      <c r="E26" s="34"/>
    </row>
    <row r="27" spans="1:5">
      <c r="A27" s="32"/>
      <c r="B27" s="34"/>
      <c r="C27" s="34"/>
      <c r="D27" s="34"/>
      <c r="E27" s="34"/>
    </row>
    <row r="28" spans="1:5">
      <c r="A28" s="32"/>
      <c r="B28" s="34"/>
      <c r="C28" s="34"/>
      <c r="D28" s="34"/>
      <c r="E28" s="34"/>
    </row>
    <row r="29" spans="1:5">
      <c r="A29" s="32"/>
      <c r="B29" s="34"/>
      <c r="C29" s="34"/>
      <c r="D29" s="34"/>
      <c r="E29" s="34"/>
    </row>
    <row r="30" spans="1:5">
      <c r="A30" s="32"/>
      <c r="B30" s="34"/>
      <c r="C30" s="34"/>
      <c r="D30" s="34"/>
      <c r="E30" s="34"/>
    </row>
    <row r="31" spans="1:5">
      <c r="A31" s="32"/>
      <c r="B31" s="34"/>
      <c r="C31" s="34"/>
      <c r="D31" s="34"/>
      <c r="E31" s="34"/>
    </row>
    <row r="32" spans="1:5">
      <c r="A32" s="32"/>
      <c r="B32" s="34"/>
      <c r="C32" s="34"/>
      <c r="D32" s="34"/>
      <c r="E32" s="34"/>
    </row>
    <row r="33" spans="1:5">
      <c r="A33" s="32"/>
      <c r="B33" s="34"/>
      <c r="C33" s="34"/>
      <c r="D33" s="34"/>
      <c r="E33" s="34"/>
    </row>
    <row r="34" spans="1:5">
      <c r="A34" s="32"/>
      <c r="B34" s="34"/>
      <c r="C34" s="34"/>
      <c r="D34" s="34"/>
      <c r="E34" s="34"/>
    </row>
    <row r="35" spans="1:5">
      <c r="A35" s="32"/>
      <c r="B35" s="34"/>
      <c r="C35" s="34"/>
      <c r="D35" s="34"/>
      <c r="E35" s="34"/>
    </row>
    <row r="36" spans="1:5">
      <c r="A36" s="32"/>
      <c r="B36" s="34"/>
      <c r="C36" s="34"/>
      <c r="D36" s="34"/>
      <c r="E36" s="34"/>
    </row>
    <row r="37" spans="1:5">
      <c r="A37" s="32"/>
      <c r="B37" s="34"/>
      <c r="C37" s="34"/>
      <c r="D37" s="34"/>
      <c r="E37" s="34"/>
    </row>
    <row r="38" spans="1:5">
      <c r="A38" s="32"/>
      <c r="B38" s="34"/>
      <c r="C38" s="34"/>
      <c r="D38" s="34"/>
      <c r="E38" s="34"/>
    </row>
    <row r="39" spans="1:5">
      <c r="A39" s="32"/>
      <c r="B39" s="34"/>
      <c r="C39" s="34"/>
      <c r="D39" s="34"/>
      <c r="E39" s="34"/>
    </row>
    <row r="40" spans="1:5">
      <c r="A40" s="32"/>
      <c r="B40" s="34"/>
      <c r="C40" s="34"/>
      <c r="D40" s="34"/>
      <c r="E40" s="34"/>
    </row>
    <row r="41" spans="1:5">
      <c r="A41" s="32"/>
      <c r="B41" s="34"/>
      <c r="C41" s="34"/>
      <c r="D41" s="34"/>
      <c r="E41" s="34"/>
    </row>
    <row r="42" spans="1:5">
      <c r="A42" s="32"/>
      <c r="B42" s="34"/>
      <c r="C42" s="34"/>
      <c r="D42" s="34"/>
      <c r="E42" s="34"/>
    </row>
    <row r="43" spans="1:5">
      <c r="A43" s="32"/>
      <c r="B43" s="34"/>
      <c r="C43" s="34"/>
      <c r="D43" s="34"/>
      <c r="E43" s="34"/>
    </row>
    <row r="44" spans="1:5">
      <c r="A44" s="32"/>
      <c r="B44" s="34"/>
      <c r="C44" s="34"/>
      <c r="D44" s="34"/>
      <c r="E44" s="34"/>
    </row>
    <row r="45" spans="1:5">
      <c r="A45" s="32"/>
      <c r="B45" s="34"/>
      <c r="C45" s="34"/>
      <c r="D45" s="34"/>
      <c r="E45" s="34"/>
    </row>
    <row r="46" spans="1:5">
      <c r="A46" s="32"/>
      <c r="B46" s="34"/>
      <c r="C46" s="34"/>
      <c r="D46" s="34"/>
      <c r="E46" s="34"/>
    </row>
    <row r="47" spans="1:5">
      <c r="A47" s="32"/>
      <c r="B47" s="34"/>
      <c r="C47" s="34"/>
      <c r="D47" s="34"/>
      <c r="E47" s="34"/>
    </row>
    <row r="48" spans="1:5">
      <c r="A48" s="32"/>
      <c r="B48" s="34"/>
      <c r="C48" s="34"/>
      <c r="D48" s="34"/>
      <c r="E48" s="34"/>
    </row>
    <row r="49" spans="1:5">
      <c r="A49" s="32"/>
      <c r="B49" s="34"/>
      <c r="C49" s="34"/>
      <c r="D49" s="34"/>
      <c r="E49" s="34"/>
    </row>
    <row r="50" spans="1:5">
      <c r="A50" s="32"/>
      <c r="B50" s="34"/>
      <c r="C50" s="34"/>
      <c r="D50" s="34"/>
      <c r="E50" s="34"/>
    </row>
    <row r="51" spans="1:5">
      <c r="A51" s="32"/>
      <c r="B51" s="34"/>
      <c r="C51" s="34"/>
      <c r="D51" s="34"/>
      <c r="E51" s="34"/>
    </row>
    <row r="52" spans="1:5">
      <c r="A52" s="32"/>
      <c r="B52" s="34"/>
      <c r="C52" s="34"/>
      <c r="D52" s="34"/>
      <c r="E52" s="34"/>
    </row>
    <row r="53" spans="1:5">
      <c r="A53" s="32"/>
      <c r="B53" s="34"/>
      <c r="C53" s="34"/>
      <c r="D53" s="34"/>
      <c r="E53" s="34"/>
    </row>
    <row r="54" spans="1:5">
      <c r="A54" s="32"/>
      <c r="B54" s="34"/>
      <c r="C54" s="34"/>
      <c r="D54" s="34"/>
      <c r="E54" s="34"/>
    </row>
    <row r="55" spans="1:5">
      <c r="A55" s="32"/>
      <c r="B55" s="34"/>
      <c r="C55" s="34"/>
      <c r="D55" s="34"/>
      <c r="E55" s="34"/>
    </row>
    <row r="56" spans="1:5">
      <c r="A56" s="32"/>
      <c r="B56" s="34"/>
      <c r="C56" s="34"/>
      <c r="D56" s="34"/>
      <c r="E56" s="34"/>
    </row>
    <row r="57" spans="1:5">
      <c r="A57" s="32"/>
      <c r="B57" s="34"/>
      <c r="C57" s="34"/>
      <c r="D57" s="34"/>
      <c r="E57" s="34"/>
    </row>
    <row r="58" spans="1:5">
      <c r="A58" s="32"/>
      <c r="B58" s="34"/>
      <c r="C58" s="34"/>
      <c r="D58" s="34"/>
      <c r="E58" s="34"/>
    </row>
    <row r="59" spans="1:5">
      <c r="A59" s="32"/>
      <c r="B59" s="34"/>
      <c r="C59" s="34"/>
      <c r="D59" s="34"/>
      <c r="E59" s="34"/>
    </row>
    <row r="60" spans="1:5">
      <c r="A60" s="32"/>
      <c r="B60" s="34"/>
      <c r="C60" s="34"/>
      <c r="D60" s="34"/>
      <c r="E60" s="34"/>
    </row>
    <row r="61" spans="1:5">
      <c r="A61" s="32"/>
      <c r="B61" s="34"/>
      <c r="C61" s="34"/>
      <c r="D61" s="34"/>
      <c r="E61" s="34"/>
    </row>
    <row r="62" spans="1:5">
      <c r="A62" s="32"/>
      <c r="B62" s="34"/>
      <c r="C62" s="34"/>
      <c r="D62" s="34"/>
      <c r="E62" s="34"/>
    </row>
    <row r="63" spans="1:5">
      <c r="A63" s="32"/>
      <c r="B63" s="34"/>
      <c r="C63" s="34"/>
      <c r="D63" s="34"/>
      <c r="E63" s="3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855DF-EBB4-481D-9DF6-83E3590CF6FC}">
  <sheetPr codeName="Sheet7"/>
  <dimension ref="A1:B13"/>
  <sheetViews>
    <sheetView workbookViewId="0">
      <selection activeCell="B1" sqref="B1"/>
    </sheetView>
  </sheetViews>
  <sheetFormatPr defaultRowHeight="15"/>
  <cols>
    <col min="1" max="1" width="54.85546875" bestFit="1" customWidth="1"/>
    <col min="2" max="2" width="35.42578125" bestFit="1" customWidth="1"/>
  </cols>
  <sheetData>
    <row r="1" spans="1:2" ht="30">
      <c r="A1" t="s">
        <v>481</v>
      </c>
      <c r="B1" s="26" t="s">
        <v>493</v>
      </c>
    </row>
    <row r="2" spans="1:2">
      <c r="A2" s="1" t="s">
        <v>482</v>
      </c>
      <c r="B2" s="25">
        <v>2595499419</v>
      </c>
    </row>
    <row r="3" spans="1:2">
      <c r="A3" s="1" t="s">
        <v>483</v>
      </c>
      <c r="B3" s="25">
        <v>1059209</v>
      </c>
    </row>
    <row r="4" spans="1:2">
      <c r="A4" s="1" t="s">
        <v>484</v>
      </c>
      <c r="B4" s="25">
        <v>146591425</v>
      </c>
    </row>
    <row r="5" spans="1:2">
      <c r="A5" s="1" t="s">
        <v>485</v>
      </c>
      <c r="B5" s="25">
        <v>348298</v>
      </c>
    </row>
    <row r="6" spans="1:2">
      <c r="A6" s="1" t="s">
        <v>486</v>
      </c>
      <c r="B6" s="25">
        <v>216281096</v>
      </c>
    </row>
    <row r="7" spans="1:2">
      <c r="A7" s="1" t="s">
        <v>487</v>
      </c>
      <c r="B7" s="25">
        <v>459466997</v>
      </c>
    </row>
    <row r="8" spans="1:2">
      <c r="A8" s="1" t="s">
        <v>488</v>
      </c>
      <c r="B8" s="25">
        <v>7838559</v>
      </c>
    </row>
    <row r="9" spans="1:2">
      <c r="A9" s="1" t="s">
        <v>489</v>
      </c>
      <c r="B9" s="25">
        <v>28988390</v>
      </c>
    </row>
    <row r="10" spans="1:2">
      <c r="A10" s="1" t="s">
        <v>490</v>
      </c>
      <c r="B10" s="25">
        <v>158711398</v>
      </c>
    </row>
    <row r="11" spans="1:2">
      <c r="A11" s="1" t="s">
        <v>491</v>
      </c>
      <c r="B11" s="25">
        <v>2653126</v>
      </c>
    </row>
    <row r="12" spans="1:2">
      <c r="A12" s="1" t="s">
        <v>492</v>
      </c>
      <c r="B12" s="25">
        <v>649601</v>
      </c>
    </row>
    <row r="13" spans="1:2">
      <c r="A13" s="1" t="s">
        <v>446</v>
      </c>
      <c r="B13" s="25">
        <v>3618087518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D8604-15EC-4FF6-B4B3-637EE2609A72}">
  <sheetPr codeName="Sheet8"/>
  <dimension ref="A2:E21"/>
  <sheetViews>
    <sheetView workbookViewId="0">
      <selection activeCell="A2" sqref="A2"/>
    </sheetView>
  </sheetViews>
  <sheetFormatPr defaultRowHeight="15"/>
  <cols>
    <col min="1" max="1" width="23" bestFit="1" customWidth="1"/>
    <col min="2" max="2" width="39.28515625" bestFit="1" customWidth="1"/>
    <col min="3" max="3" width="8.28515625" bestFit="1" customWidth="1"/>
    <col min="4" max="5" width="7.85546875" bestFit="1" customWidth="1"/>
    <col min="6" max="6" width="8.140625" bestFit="1" customWidth="1"/>
    <col min="7" max="7" width="13.140625" bestFit="1" customWidth="1"/>
    <col min="8" max="8" width="16.140625" bestFit="1" customWidth="1"/>
    <col min="9" max="9" width="15.7109375" bestFit="1" customWidth="1"/>
    <col min="10" max="10" width="17.28515625" bestFit="1" customWidth="1"/>
    <col min="11" max="11" width="23" bestFit="1" customWidth="1"/>
    <col min="12" max="12" width="39.28515625" bestFit="1" customWidth="1"/>
    <col min="13" max="18" width="16.28515625" bestFit="1" customWidth="1"/>
    <col min="19" max="19" width="11.28515625" bestFit="1" customWidth="1"/>
    <col min="20" max="20" width="12" bestFit="1" customWidth="1"/>
    <col min="21" max="21" width="10.7109375" bestFit="1" customWidth="1"/>
    <col min="22" max="22" width="12" bestFit="1" customWidth="1"/>
    <col min="23" max="23" width="10.7109375" bestFit="1" customWidth="1"/>
    <col min="24" max="24" width="12" bestFit="1" customWidth="1"/>
    <col min="25" max="25" width="10.7109375" bestFit="1" customWidth="1"/>
    <col min="26" max="26" width="12" bestFit="1" customWidth="1"/>
    <col min="27" max="27" width="10.7109375" bestFit="1" customWidth="1"/>
    <col min="28" max="28" width="12" bestFit="1" customWidth="1"/>
    <col min="29" max="29" width="10.7109375" bestFit="1" customWidth="1"/>
    <col min="30" max="30" width="12" bestFit="1" customWidth="1"/>
    <col min="31" max="31" width="11.28515625" bestFit="1" customWidth="1"/>
    <col min="32" max="33" width="12" bestFit="1" customWidth="1"/>
    <col min="34" max="34" width="10.7109375" bestFit="1" customWidth="1"/>
    <col min="35" max="36" width="12" bestFit="1" customWidth="1"/>
    <col min="37" max="37" width="10.7109375" bestFit="1" customWidth="1"/>
    <col min="38" max="39" width="12" bestFit="1" customWidth="1"/>
    <col min="40" max="40" width="10.7109375" bestFit="1" customWidth="1"/>
    <col min="41" max="42" width="12" bestFit="1" customWidth="1"/>
    <col min="43" max="43" width="11.28515625" bestFit="1" customWidth="1"/>
    <col min="44" max="45" width="12" bestFit="1" customWidth="1"/>
    <col min="46" max="46" width="14.28515625" bestFit="1" customWidth="1"/>
    <col min="47" max="47" width="10.7109375" bestFit="1" customWidth="1"/>
    <col min="48" max="49" width="12" bestFit="1" customWidth="1"/>
    <col min="50" max="50" width="13.7109375" bestFit="1" customWidth="1"/>
    <col min="51" max="51" width="10.85546875" bestFit="1" customWidth="1"/>
    <col min="52" max="53" width="12" bestFit="1" customWidth="1"/>
    <col min="54" max="54" width="14" bestFit="1" customWidth="1"/>
    <col min="55" max="55" width="11.28515625" bestFit="1" customWidth="1"/>
  </cols>
  <sheetData>
    <row r="2" spans="1:5">
      <c r="A2" s="18" t="s">
        <v>419</v>
      </c>
      <c r="B2" s="22" t="s">
        <v>432</v>
      </c>
      <c r="C2" s="22" t="s">
        <v>438</v>
      </c>
      <c r="D2" s="22" t="s">
        <v>433</v>
      </c>
      <c r="E2" s="22" t="s">
        <v>434</v>
      </c>
    </row>
    <row r="3" spans="1:5">
      <c r="A3" s="19" t="s">
        <v>437</v>
      </c>
      <c r="B3" s="1">
        <v>127939</v>
      </c>
      <c r="C3" s="1">
        <v>124336</v>
      </c>
      <c r="D3" s="1">
        <v>100072</v>
      </c>
      <c r="E3" s="1">
        <v>84278</v>
      </c>
    </row>
    <row r="4" spans="1:5">
      <c r="A4" s="19" t="s">
        <v>427</v>
      </c>
      <c r="B4" s="1">
        <v>75624</v>
      </c>
      <c r="C4" s="1">
        <v>67436</v>
      </c>
      <c r="D4" s="1">
        <v>61142</v>
      </c>
      <c r="E4" s="1">
        <v>52346</v>
      </c>
    </row>
    <row r="5" spans="1:5">
      <c r="A5" s="19" t="s">
        <v>426</v>
      </c>
      <c r="B5" s="1">
        <v>13562</v>
      </c>
      <c r="C5" s="1">
        <v>11271</v>
      </c>
      <c r="D5" s="1">
        <v>9805</v>
      </c>
      <c r="E5" s="1">
        <v>8449</v>
      </c>
    </row>
    <row r="6" spans="1:5">
      <c r="A6" s="19" t="s">
        <v>428</v>
      </c>
      <c r="B6" s="1">
        <v>23768</v>
      </c>
      <c r="C6" s="1">
        <v>22415</v>
      </c>
      <c r="D6" s="1">
        <v>20735</v>
      </c>
      <c r="E6" s="1">
        <v>19104</v>
      </c>
    </row>
    <row r="7" spans="1:5">
      <c r="A7" s="19" t="s">
        <v>420</v>
      </c>
      <c r="B7" s="1">
        <v>240893</v>
      </c>
      <c r="C7" s="1">
        <v>225458</v>
      </c>
      <c r="D7" s="1">
        <v>191754</v>
      </c>
      <c r="E7" s="1">
        <v>164177</v>
      </c>
    </row>
    <row r="8" spans="1:5">
      <c r="D8" s="20"/>
    </row>
    <row r="9" spans="1:5">
      <c r="A9" s="18" t="s">
        <v>419</v>
      </c>
      <c r="B9" t="s">
        <v>447</v>
      </c>
    </row>
    <row r="10" spans="1:5">
      <c r="A10" s="19" t="s">
        <v>441</v>
      </c>
      <c r="B10" s="1">
        <v>5600</v>
      </c>
    </row>
    <row r="11" spans="1:5">
      <c r="A11" s="19" t="s">
        <v>442</v>
      </c>
      <c r="B11" s="1">
        <v>11232</v>
      </c>
    </row>
    <row r="12" spans="1:5">
      <c r="A12" s="19" t="s">
        <v>444</v>
      </c>
      <c r="B12" s="1">
        <v>4150</v>
      </c>
    </row>
    <row r="13" spans="1:5">
      <c r="A13" s="19" t="s">
        <v>440</v>
      </c>
      <c r="B13" s="1">
        <v>177056</v>
      </c>
    </row>
    <row r="14" spans="1:5">
      <c r="A14" s="19" t="s">
        <v>443</v>
      </c>
      <c r="B14" s="1">
        <v>197760</v>
      </c>
    </row>
    <row r="15" spans="1:5">
      <c r="A15" s="19" t="s">
        <v>420</v>
      </c>
      <c r="B15" s="1">
        <v>395798</v>
      </c>
    </row>
    <row r="17" spans="1:2">
      <c r="A17" s="18" t="s">
        <v>419</v>
      </c>
      <c r="B17" t="s">
        <v>494</v>
      </c>
    </row>
    <row r="18" spans="1:2">
      <c r="A18" s="19" t="s">
        <v>490</v>
      </c>
      <c r="B18" s="30">
        <v>158711398</v>
      </c>
    </row>
    <row r="19" spans="1:2">
      <c r="A19" s="19" t="s">
        <v>486</v>
      </c>
      <c r="B19" s="30">
        <v>216281096</v>
      </c>
    </row>
    <row r="20" spans="1:2">
      <c r="A20" s="19" t="s">
        <v>484</v>
      </c>
      <c r="B20" s="30">
        <v>146591425</v>
      </c>
    </row>
    <row r="21" spans="1:2">
      <c r="A21" s="19" t="s">
        <v>420</v>
      </c>
      <c r="B21" s="30">
        <v>521583919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8BA5F-92FD-46D8-B371-ECBFDD8C10F8}">
  <sheetPr codeName="Sheet9"/>
  <dimension ref="A1"/>
  <sheetViews>
    <sheetView showGridLines="0" workbookViewId="0"/>
  </sheetViews>
  <sheetFormatPr defaultRowHeight="15"/>
  <cols>
    <col min="1" max="4" width="9.140625" style="54"/>
    <col min="5" max="5" width="13.140625" style="54" bestFit="1" customWidth="1"/>
    <col min="6" max="16384" width="9.140625" style="5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C12862F-B75C-4628-A1F0-8CA9AA6F63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Balance Sheet</vt:lpstr>
      <vt:lpstr>P&amp;L</vt:lpstr>
      <vt:lpstr>Cash Flows</vt:lpstr>
      <vt:lpstr>Revenue and Shares</vt:lpstr>
      <vt:lpstr>Share Price</vt:lpstr>
      <vt:lpstr>Daily Share Prices</vt:lpstr>
      <vt:lpstr>VLOOKUP Function</vt:lpstr>
      <vt:lpstr>Category wise shareholdings</vt:lpstr>
      <vt:lpstr>Pivot 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Bhavya Sachdeva</dc:creator>
  <cp:lastModifiedBy>bsachdeva2001@gmail.com</cp:lastModifiedBy>
  <dcterms:created xsi:type="dcterms:W3CDTF">2024-07-06T07:33:39Z</dcterms:created>
  <dcterms:modified xsi:type="dcterms:W3CDTF">2024-07-11T18:14:58Z</dcterms:modified>
</cp:coreProperties>
</file>